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293e89e75d47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882ae58871c47e3"/>
    <x:sheet xmlns:r="http://schemas.openxmlformats.org/officeDocument/2006/relationships" name="Assumptions" sheetId="2" r:id="R0e1ace2150e94719"/>
    <x:sheet xmlns:r="http://schemas.openxmlformats.org/officeDocument/2006/relationships" name="LBO Model" sheetId="3" r:id="Rba6daacf403d4daf"/>
    <x:sheet xmlns:r="http://schemas.openxmlformats.org/officeDocument/2006/relationships" name="Sources" sheetId="4" r:id="R89414c4b4b584594"/>
    <x:sheet xmlns:r="http://schemas.openxmlformats.org/officeDocument/2006/relationships" name="Checks" sheetId="5" r:id="Rbeec741d521c4d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$#,##0.0;($#,##0.0);-"/>
    <x:numFmt numFmtId="201" formatCode="0.0x;(0.0x);-"/>
    <x:numFmt numFmtId="202" formatCode="0.0%;(0.0%);-"/>
    <x:numFmt numFmtId="203" formatCode="dd-mmm-yy"/>
    <x:numFmt numFmtId="204" formatCode="#,##0.0;(#,##0.0);-"/>
    <x:numFmt numFmtId="205" formatCode="0.0%;(0.0%);0.0%"/>
    <x:numFmt numFmtId="206" formatCode=";;;"/>
    <x:numFmt numFmtId="207" formatCode="$0.00"/>
  </x:numFmts>
  <x:fonts count="14">
    <x:font>
      <x:sz val="11"/>
      <x:name val="Carlito"/>
    </x:font>
    <x:font>
      <x:sz val="10"/>
      <x:color rgb="FF000000"/>
      <x:name val="Arial"/>
    </x:font>
    <x:font>
      <x:sz val="16"/>
      <x:color rgb="FF14315E"/>
      <x:name val="Arial"/>
    </x:font>
    <x:font>
      <x:b/>
      <x:sz val="10"/>
      <x:color rgb="FF008000"/>
      <x:name val="Arial"/>
    </x:font>
    <x:font>
      <x:b/>
      <x:sz val="10"/>
      <x:color rgb="FFFFFFFF"/>
      <x:name val="Arial"/>
    </x:font>
    <x:font>
      <x:b/>
      <x:sz val="10"/>
      <x:color rgb="FF000000"/>
      <x:name val="Arial"/>
    </x:font>
    <x:font>
      <x:b/>
      <x:sz val="9"/>
      <x:color rgb="FF14315E"/>
      <x:name val="Arial"/>
    </x:font>
    <x:font>
      <x:i/>
      <x:sz val="9"/>
      <x:color rgb="FF808285"/>
      <x:name val="Arial"/>
    </x:font>
    <x:font>
      <x:b/>
      <x:sz val="9"/>
      <x:color rgb="FFFFFFFF"/>
      <x:name val="Arial"/>
    </x:font>
    <x:font>
      <x:sz val="10"/>
      <x:color rgb="FF0000FF"/>
      <x:name val="Arial"/>
    </x:font>
    <x:font>
      <x:i/>
      <x:sz val="10"/>
      <x:color rgb="FF000000"/>
      <x:name val="Arial"/>
    </x:font>
    <x:font>
      <x:sz val="10"/>
      <x:color rgb="FF008000"/>
      <x:name val="Arial"/>
    </x:font>
    <x:font>
      <x:sz val="9"/>
      <x:color rgb="FF000000"/>
      <x:name val="Arial"/>
    </x:font>
    <x:font>
      <x:sz val="9"/>
      <x:color rgb="FF0563C1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4315E"/>
      </x:patternFill>
    </x:fill>
    <x:fill>
      <x:patternFill patternType="solid">
        <x:fgColor rgb="FFEAF3F8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A9B8D4"/>
      </x:patternFill>
    </x:fill>
  </x:fills>
  <x:borders count="24">
    <x:border>
      <x:left/>
      <x:right/>
      <x:top/>
      <x:bottom/>
      <x:diagonal/>
    </x:border>
    <x:border>
      <x:left/>
      <x:right/>
      <x:top/>
      <x:bottom style="thin">
        <x:color rgb="FF14315E"/>
      </x:bottom>
      <x:diagonal/>
    </x:border>
    <x:border>
      <x:left style="dotted">
        <x:color rgb="FF808285"/>
      </x:left>
      <x:right style="dotted">
        <x:color rgb="FF808285"/>
      </x:right>
      <x:top style="dotted">
        <x:color rgb="FF808285"/>
      </x:top>
      <x:bottom style="dotted">
        <x:color rgb="FF808285"/>
      </x:bottom>
      <x:diagonal/>
    </x:border>
    <x:border>
      <x:left style="thin">
        <x:color rgb="FFBFBFBF"/>
      </x:left>
      <x:right/>
      <x:top style="thin">
        <x:color rgb="FFBFBFBF"/>
      </x:top>
      <x:bottom/>
      <x:diagonal/>
    </x:border>
    <x:border>
      <x:left/>
      <x:right style="thin">
        <x:color rgb="FFBFBFBF"/>
      </x:right>
      <x:top style="thin">
        <x:color rgb="FFBFBFBF"/>
      </x:top>
      <x:bottom/>
      <x:diagonal/>
    </x:border>
    <x:border>
      <x:left style="thin">
        <x:color rgb="FFBFBFBF"/>
      </x:left>
      <x:right/>
      <x:top/>
      <x:bottom/>
      <x:diagonal/>
    </x:border>
    <x:border>
      <x:left/>
      <x:right style="thin">
        <x:color rgb="FFBFBFBF"/>
      </x:right>
      <x:top/>
      <x:bottom/>
      <x:diagonal/>
    </x:border>
    <x:border>
      <x:left style="thin">
        <x:color rgb="FFBFBFBF"/>
      </x:left>
      <x:right/>
      <x:top/>
      <x:bottom style="thin">
        <x:color rgb="FFBFBFBF"/>
      </x:bottom>
      <x:diagonal/>
    </x:border>
    <x:border>
      <x:left/>
      <x:right style="thin">
        <x:color rgb="FFBFBFBF"/>
      </x:right>
      <x:top/>
      <x:bottom style="thin">
        <x:color rgb="FFBFBFBF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 style="thin">
        <x:color rgb="FFBFBFBF"/>
      </x:top>
      <x:bottom/>
      <x:diagonal/>
    </x:border>
    <x:border>
      <x:left/>
      <x:right/>
      <x:top/>
      <x:bottom style="thin">
        <x:color rgb="FFBFBFBF"/>
      </x:bottom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  <x:border>
      <x:left/>
      <x:right style="thin">
        <x:color rgb="FFFFFFFF"/>
      </x:right>
      <x:top/>
      <x:bottom style="thin">
        <x:color rgb="FFFFFFFF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FFFFFF"/>
      </x:bottom>
      <x:diagonal/>
    </x:border>
    <x:border>
      <x:left style="thin">
        <x:color rgb="FFFFFFFF"/>
      </x:left>
      <x:right/>
      <x:top/>
      <x:bottom style="thin">
        <x:color rgb="FFFFFFFF"/>
      </x:bottom>
      <x:diagonal/>
    </x:border>
    <x:border>
      <x:left/>
      <x:right style="thin">
        <x:color rgb="FFFFFFFF"/>
      </x:right>
      <x:top style="thin">
        <x:color rgb="FFFFFFFF"/>
      </x:top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/>
      <x:diagonal/>
    </x:border>
    <x:border>
      <x:left style="thin">
        <x:color rgb="FFFFFFFF"/>
      </x:left>
      <x:right/>
      <x:top style="thin">
        <x:color rgb="FFFFFFFF"/>
      </x:top>
      <x:bottom/>
      <x:diagonal/>
    </x:border>
    <x:border>
      <x:left style="thin">
        <x:color rgb="FFBFBFBF"/>
      </x:left>
      <x:right style="thin">
        <x:color rgb="FFFFFFFF"/>
      </x:right>
      <x:top style="thin">
        <x:color rgb="FFBFBFBF"/>
      </x:top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BFBFBF"/>
      </x:top>
      <x:bottom/>
      <x:diagonal/>
    </x:border>
    <x:border>
      <x:left style="thin">
        <x:color rgb="FFFFFFFF"/>
      </x:left>
      <x:right style="thin">
        <x:color rgb="FFBFBFBF"/>
      </x:right>
      <x:top style="thin">
        <x:color rgb="FFBFBFBF"/>
      </x:top>
      <x:bottom/>
      <x:diagonal/>
    </x:border>
  </x:borders>
  <x:cellStyleXfs count="1">
    <x:xf numFmtId="0" fontId="0" fillId="0" borderId="0"/>
  </x:cellStyleXfs>
  <x:cellXfs count="1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horizontal="center" vertical="center"/>
    </x:xf>
    <x:xf numFmtId="0" fontId="3" fillId="0" borderId="2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left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horizontal="right" vertical="center"/>
    </x:xf>
    <x:xf numFmtId="0" fontId="1" fillId="0" borderId="5" xfId="0" applyNumberFormat="1" applyFont="1" applyFill="1" applyBorder="1" applyAlignment="1">
      <x:alignment vertical="center"/>
    </x:xf>
    <x:xf numFmtId="201" fontId="1" fillId="0" borderId="6" xfId="0" applyNumberFormat="1" applyFont="1" applyFill="1" applyBorder="1" applyAlignment="1">
      <x:alignment horizontal="right" vertical="center"/>
    </x:xf>
    <x:xf numFmtId="200" fontId="1" fillId="0" borderId="6" xfId="0" applyNumberFormat="1" applyFont="1" applyFill="1" applyBorder="1" applyAlignment="1">
      <x:alignment horizontal="right" vertical="center"/>
    </x:xf>
    <x:xf numFmtId="202" fontId="1" fillId="0" borderId="6" xfId="0" applyNumberFormat="1" applyFont="1" applyFill="1" applyBorder="1" applyAlignment="1">
      <x:alignment horizontal="right" vertical="center"/>
    </x:xf>
    <x:xf numFmtId="0" fontId="1" fillId="0" borderId="7" xfId="0" applyNumberFormat="1" applyFont="1" applyFill="1" applyBorder="1" applyAlignment="1">
      <x:alignment vertical="center"/>
    </x:xf>
    <x:xf numFmtId="203" fontId="1" fillId="0" borderId="8" xfId="0" applyNumberFormat="1" applyFont="1" applyFill="1" applyBorder="1" applyAlignment="1">
      <x:alignment horizontal="right" vertical="center"/>
    </x:xf>
    <x:xf numFmtId="0" fontId="5" fillId="0" borderId="5" xfId="0" applyNumberFormat="1" applyFont="1" applyFill="1" applyBorder="1" applyAlignment="1">
      <x:alignment vertical="center"/>
    </x:xf>
    <x:xf numFmtId="201" fontId="5" fillId="0" borderId="6" xfId="0" applyNumberFormat="1" applyFont="1" applyFill="1" applyBorder="1" applyAlignment="1">
      <x:alignment horizontal="right" vertical="center"/>
    </x:xf>
    <x:xf numFmtId="202" fontId="5" fillId="0" borderId="6" xfId="0" applyNumberFormat="1" applyFont="1" applyFill="1" applyBorder="1" applyAlignment="1">
      <x:alignment horizontal="right" vertical="center"/>
    </x:xf>
    <x:xf numFmtId="0" fontId="1" fillId="3" borderId="7" xfId="0" applyNumberFormat="1" applyFont="1" applyFill="1" applyBorder="1" applyAlignment="1">
      <x:alignment vertical="center"/>
    </x:xf>
    <x:xf numFmtId="200" fontId="1" fillId="3" borderId="8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9" fillId="5" borderId="0" xfId="0" applyNumberFormat="1" applyFont="1" applyFill="1" applyBorder="1" applyAlignment="1">
      <x:alignment horizontal="right" vertical="center"/>
    </x:xf>
    <x:xf numFmtId="201" fontId="9" fillId="5" borderId="0" xfId="0" applyNumberFormat="1" applyFont="1" applyFill="1" applyBorder="1" applyAlignment="1">
      <x:alignment horizontal="right" vertical="center"/>
    </x:xf>
    <x:xf numFmtId="200" fontId="9" fillId="5" borderId="0" xfId="0" applyNumberFormat="1" applyFont="1" applyFill="1" applyBorder="1" applyAlignment="1">
      <x:alignment horizontal="right" vertical="center"/>
    </x:xf>
    <x:xf numFmtId="204" fontId="9" fillId="5" borderId="0" xfId="0" applyNumberFormat="1" applyFont="1" applyFill="1" applyBorder="1" applyAlignment="1">
      <x:alignment horizontal="right" vertical="center"/>
    </x:xf>
    <x:xf numFmtId="0" fontId="9" fillId="5" borderId="4" xfId="0" applyNumberFormat="1" applyFont="1" applyFill="1" applyBorder="1" applyAlignment="1">
      <x:alignment horizontal="right" vertical="center"/>
    </x:xf>
    <x:xf numFmtId="0" fontId="1" fillId="0" borderId="6" xfId="0" applyNumberFormat="1" applyFont="1" applyFill="1" applyBorder="1" applyAlignment="1">
      <x:alignment horizontal="right" vertical="center"/>
    </x:xf>
    <x:xf numFmtId="202" fontId="9" fillId="5" borderId="6" xfId="0" applyNumberFormat="1" applyFont="1" applyFill="1" applyBorder="1" applyAlignment="1">
      <x:alignment horizontal="right" vertical="center"/>
    </x:xf>
    <x:xf numFmtId="201" fontId="9" fillId="5" borderId="6" xfId="0" applyNumberFormat="1" applyFont="1" applyFill="1" applyBorder="1" applyAlignment="1">
      <x:alignment horizontal="right" vertical="center"/>
    </x:xf>
    <x:xf numFmtId="200" fontId="9" fillId="5" borderId="6" xfId="0" applyNumberFormat="1" applyFont="1" applyFill="1" applyBorder="1" applyAlignment="1">
      <x:alignment horizontal="right" vertical="center"/>
    </x:xf>
    <x:xf numFmtId="204" fontId="9" fillId="5" borderId="8" xfId="0" applyNumberFormat="1" applyFont="1" applyFill="1" applyBorder="1" applyAlignment="1">
      <x:alignment horizontal="right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9" xfId="0" applyNumberFormat="1" applyFont="1" applyFill="1" applyBorder="1" applyAlignment="1">
      <x:alignment horizontal="center" vertical="center"/>
    </x:xf>
    <x:xf numFmtId="0" fontId="4" fillId="2" borderId="10" xfId="0" applyNumberFormat="1" applyFont="1" applyFill="1" applyBorder="1" applyAlignment="1">
      <x:alignment horizontal="center" vertical="center"/>
    </x:xf>
    <x:xf numFmtId="0" fontId="4" fillId="2" borderId="11" xfId="0" applyNumberFormat="1" applyFont="1" applyFill="1" applyBorder="1" applyAlignment="1">
      <x:alignment horizontal="center" vertical="center"/>
    </x:xf>
    <x:xf numFmtId="202" fontId="1" fillId="0" borderId="12" xfId="0" applyNumberFormat="1" applyFont="1" applyFill="1" applyBorder="1" applyAlignment="1">
      <x:alignment horizontal="right" vertical="center"/>
    </x:xf>
    <x:xf numFmtId="202" fontId="1" fillId="0" borderId="4" xfId="0" applyNumberFormat="1" applyFont="1" applyFill="1" applyBorder="1" applyAlignment="1">
      <x:alignment horizontal="right" vertical="center"/>
    </x:xf>
    <x:xf numFmtId="202" fontId="1" fillId="0" borderId="6" xfId="0" applyNumberFormat="1" applyFont="1" applyFill="1" applyBorder="1" applyAlignment="1">
      <x:alignment vertical="center"/>
    </x:xf>
    <x:xf numFmtId="202" fontId="9" fillId="5" borderId="13" xfId="0" applyNumberFormat="1" applyFont="1" applyFill="1" applyBorder="1" applyAlignment="1">
      <x:alignment horizontal="right" vertical="center"/>
    </x:xf>
    <x:xf numFmtId="202" fontId="9" fillId="5" borderId="8" xfId="0" applyNumberFormat="1" applyFont="1" applyFill="1" applyBorder="1" applyAlignment="1">
      <x:alignment horizontal="right" vertical="center"/>
    </x:xf>
    <x:xf numFmtId="0" fontId="1" fillId="3" borderId="3" xfId="0" applyNumberFormat="1" applyFont="1" applyFill="1" applyBorder="1" applyAlignment="1">
      <x:alignment vertical="center"/>
    </x:xf>
    <x:xf numFmtId="202" fontId="1" fillId="3" borderId="12" xfId="0" applyNumberFormat="1" applyFont="1" applyFill="1" applyBorder="1" applyAlignment="1">
      <x:alignment horizontal="right" vertical="center"/>
    </x:xf>
    <x:xf numFmtId="202" fontId="1" fillId="3" borderId="4" xfId="0" applyNumberFormat="1" applyFont="1" applyFill="1" applyBorder="1" applyAlignment="1">
      <x:alignment horizontal="right" vertical="center"/>
    </x:xf>
    <x:xf numFmtId="0" fontId="1" fillId="3" borderId="5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horizontal="right" vertical="center"/>
    </x:xf>
    <x:xf numFmtId="202" fontId="1" fillId="3" borderId="6" xfId="0" applyNumberFormat="1" applyFont="1" applyFill="1" applyBorder="1" applyAlignment="1">
      <x:alignment horizontal="right" vertical="center"/>
    </x:xf>
    <x:xf numFmtId="0" fontId="10" fillId="3" borderId="3" xfId="0" applyNumberFormat="1" applyFont="1" applyFill="1" applyBorder="1" applyAlignment="1">
      <x:alignment vertical="center"/>
    </x:xf>
    <x:xf numFmtId="0" fontId="10" fillId="0" borderId="5" xfId="0" applyNumberFormat="1" applyFont="1" applyFill="1" applyBorder="1" applyAlignment="1">
      <x:alignment vertical="center"/>
    </x:xf>
    <x:xf numFmtId="0" fontId="10" fillId="3" borderId="5" xfId="0" applyNumberFormat="1" applyFont="1" applyFill="1" applyBorder="1" applyAlignment="1">
      <x:alignment vertical="center"/>
    </x:xf>
    <x:xf numFmtId="0" fontId="10" fillId="0" borderId="7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2" borderId="0" xfId="0" applyNumberFormat="1" applyFont="1" applyFill="1" applyBorder="1" applyAlignment="1">
      <x:alignment vertical="center"/>
    </x:xf>
    <x:xf numFmtId="205" fontId="4" fillId="2" borderId="0" xfId="0" applyNumberFormat="1" applyFont="1" applyFill="1" applyBorder="1" applyAlignment="1">
      <x:alignment vertical="center"/>
    </x:xf>
    <x:xf numFmtId="205" fontId="4" fillId="2" borderId="0" xfId="0" applyNumberFormat="1" applyFont="1" applyFill="1" applyBorder="1" applyAlignment="1">
      <x:alignment horizontal="center" vertical="center"/>
    </x:xf>
    <x:xf numFmtId="201" fontId="1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horizontal="center" vertical="center"/>
    </x:xf>
    <x:xf numFmtId="202" fontId="1" fillId="0" borderId="14" xfId="0" applyNumberFormat="1" applyFont="1" applyFill="1" applyBorder="1" applyAlignment="1">
      <x:alignment vertical="center"/>
    </x:xf>
    <x:xf numFmtId="202" fontId="1" fillId="6" borderId="14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0" fontId="4" fillId="2" borderId="15" xfId="0" applyNumberFormat="1" applyFont="1" applyFill="1" applyBorder="1" applyAlignment="1">
      <x:alignment horizontal="center" vertical="center"/>
    </x:xf>
    <x:xf numFmtId="0" fontId="4" fillId="2" borderId="16" xfId="0" applyNumberFormat="1" applyFont="1" applyFill="1" applyBorder="1" applyAlignment="1">
      <x:alignment horizontal="center" vertical="center"/>
    </x:xf>
    <x:xf numFmtId="0" fontId="4" fillId="2" borderId="17" xfId="0" applyNumberFormat="1" applyFont="1" applyFill="1" applyBorder="1" applyAlignment="1">
      <x:alignment horizontal="center" vertical="center"/>
    </x:xf>
    <x:xf numFmtId="0" fontId="4" fillId="2" borderId="18" xfId="0" applyNumberFormat="1" applyFont="1" applyFill="1" applyBorder="1" applyAlignment="1">
      <x:alignment horizontal="center" vertical="center"/>
    </x:xf>
    <x:xf numFmtId="0" fontId="4" fillId="2" borderId="19" xfId="0" applyNumberFormat="1" applyFont="1" applyFill="1" applyBorder="1" applyAlignment="1">
      <x:alignment horizontal="center" vertical="center"/>
    </x:xf>
    <x:xf numFmtId="0" fontId="4" fillId="2" borderId="20" xfId="0" applyNumberFormat="1" applyFont="1" applyFill="1" applyBorder="1" applyAlignment="1">
      <x:alignment horizontal="center" vertical="center"/>
    </x:xf>
    <x:xf numFmtId="0" fontId="11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horizontal="right" vertical="center"/>
    </x:xf>
    <x:xf numFmtId="200" fontId="11" fillId="0" borderId="0" xfId="0" applyNumberFormat="1" applyFont="1" applyFill="1" applyBorder="1" applyAlignment="1">
      <x:alignment horizontal="right" vertical="center"/>
    </x:xf>
    <x:xf numFmtId="202" fontId="11" fillId="0" borderId="0" xfId="0" applyNumberFormat="1" applyFont="1" applyFill="1" applyBorder="1" applyAlignment="1">
      <x:alignment horizontal="right" vertical="center"/>
    </x:xf>
    <x:xf numFmtId="200" fontId="3" fillId="0" borderId="0" xfId="0" applyNumberFormat="1" applyFont="1" applyFill="1" applyBorder="1" applyAlignment="1">
      <x:alignment horizontal="right" vertical="center"/>
    </x:xf>
    <x:xf numFmtId="200" fontId="5" fillId="0" borderId="0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horizontal="right" vertical="center"/>
    </x:xf>
    <x:xf numFmtId="200" fontId="5" fillId="3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horizontal="right" vertical="center"/>
    </x:xf>
    <x:xf numFmtId="200" fontId="4" fillId="2" borderId="0" xfId="0" applyNumberFormat="1" applyFont="1" applyFill="1" applyBorder="1" applyAlignment="1">
      <x:alignment horizontal="right" vertical="center"/>
    </x:xf>
    <x:xf numFmtId="200" fontId="11" fillId="0" borderId="12" xfId="0" applyNumberFormat="1" applyFont="1" applyFill="1" applyBorder="1" applyAlignment="1">
      <x:alignment horizontal="right" vertical="center"/>
    </x:xf>
    <x:xf numFmtId="200" fontId="1" fillId="0" borderId="12" xfId="0" applyNumberFormat="1" applyFont="1" applyFill="1" applyBorder="1" applyAlignment="1">
      <x:alignment horizontal="right" vertical="center"/>
    </x:xf>
    <x:xf numFmtId="200" fontId="5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vertical="center"/>
    </x:xf>
    <x:xf numFmtId="200" fontId="5" fillId="3" borderId="13" xfId="0" applyNumberFormat="1" applyFont="1" applyFill="1" applyBorder="1" applyAlignment="1">
      <x:alignment horizontal="right" vertical="center"/>
    </x:xf>
    <x:xf numFmtId="200" fontId="5" fillId="3" borderId="8" xfId="0" applyNumberFormat="1" applyFont="1" applyFill="1" applyBorder="1" applyAlignment="1">
      <x:alignment horizontal="right" vertical="center"/>
    </x:xf>
    <x:xf numFmtId="200" fontId="1" fillId="0" borderId="13" xfId="0" applyNumberFormat="1" applyFont="1" applyFill="1" applyBorder="1" applyAlignment="1">
      <x:alignment horizontal="right" vertical="center"/>
    </x:xf>
    <x:xf numFmtId="202" fontId="1" fillId="0" borderId="13" xfId="0" applyNumberFormat="1" applyFont="1" applyFill="1" applyBorder="1" applyAlignment="1">
      <x:alignment horizontal="right" vertical="center"/>
    </x:xf>
    <x:xf numFmtId="202" fontId="1" fillId="0" borderId="8" xfId="0" applyNumberFormat="1" applyFont="1" applyFill="1" applyBorder="1" applyAlignment="1">
      <x:alignment horizontal="right" vertical="center"/>
    </x:xf>
    <x:xf numFmtId="200" fontId="11" fillId="3" borderId="0" xfId="0" applyNumberFormat="1" applyFont="1" applyFill="1" applyBorder="1" applyAlignment="1">
      <x:alignment horizontal="right" vertical="center"/>
    </x:xf>
    <x:xf numFmtId="200" fontId="11" fillId="0" borderId="4" xfId="0" applyNumberFormat="1" applyFont="1" applyFill="1" applyBorder="1" applyAlignment="1">
      <x:alignment horizontal="right" vertical="center"/>
    </x:xf>
    <x:xf numFmtId="200" fontId="11" fillId="0" borderId="6" xfId="0" applyNumberFormat="1" applyFont="1" applyFill="1" applyBorder="1" applyAlignment="1">
      <x:alignment horizontal="right" vertical="center"/>
    </x:xf>
    <x:xf numFmtId="200" fontId="3" fillId="0" borderId="6" xfId="0" applyNumberFormat="1" applyFont="1" applyFill="1" applyBorder="1" applyAlignment="1">
      <x:alignment horizontal="right" vertical="center"/>
    </x:xf>
    <x:xf numFmtId="200" fontId="5" fillId="3" borderId="5" xfId="0" applyNumberFormat="1" applyFont="1" applyFill="1" applyBorder="1" applyAlignment="1">
      <x:alignment vertical="center"/>
    </x:xf>
    <x:xf numFmtId="200" fontId="5" fillId="3" borderId="6" xfId="0" applyNumberFormat="1" applyFont="1" applyFill="1" applyBorder="1" applyAlignment="1">
      <x:alignment horizontal="right"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7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3" fontId="9" fillId="5" borderId="0" xfId="0" applyNumberFormat="1" applyFont="1" applyFill="1" applyBorder="1" applyAlignment="1">
      <x:alignment vertical="center"/>
    </x:xf>
    <x:xf numFmtId="207" fontId="9" fillId="5" borderId="0" xfId="0" applyNumberFormat="1" applyFont="1" applyFill="1" applyBorder="1" applyAlignment="1">
      <x:alignment vertical="center"/>
    </x:xf>
    <x:xf numFmtId="200" fontId="9" fillId="5" borderId="0" xfId="0" applyNumberFormat="1" applyFont="1" applyFill="1" applyBorder="1" applyAlignment="1">
      <x:alignment vertical="center"/>
    </x:xf>
    <x:xf numFmtId="203" fontId="9" fillId="5" borderId="0" xfId="0" applyNumberFormat="1" applyFont="1" applyFill="1" applyBorder="1" applyAlignment="1">
      <x:alignment horizontal="right" vertical="center"/>
    </x:xf>
    <x:xf numFmtId="207" fontId="9" fillId="5" borderId="0" xfId="0" applyNumberFormat="1" applyFont="1" applyFill="1" applyBorder="1" applyAlignment="1">
      <x:alignment horizontal="right" vertical="center"/>
    </x:xf>
    <x:xf numFmtId="0" fontId="4" fillId="2" borderId="21" xfId="0" applyNumberFormat="1" applyFont="1" applyFill="1" applyBorder="1" applyAlignment="1">
      <x:alignment horizontal="center" vertical="center"/>
    </x:xf>
    <x:xf numFmtId="0" fontId="4" fillId="2" borderId="22" xfId="0" applyNumberFormat="1" applyFont="1" applyFill="1" applyBorder="1" applyAlignment="1">
      <x:alignment horizontal="center" vertical="center"/>
    </x:xf>
    <x:xf numFmtId="0" fontId="4" fillId="2" borderId="23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vertical="center"/>
    </x:xf>
    <x:xf numFmtId="200" fontId="9" fillId="5" borderId="13" xfId="0" applyNumberFormat="1" applyFont="1" applyFill="1" applyBorder="1" applyAlignment="1">
      <x:alignment horizontal="right" vertical="center"/>
    </x:xf>
    <x:xf numFmtId="0" fontId="1" fillId="0" borderId="13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200" fontId="9" fillId="5" borderId="8" xfId="0" applyNumberFormat="1" applyFont="1" applyFill="1" applyBorder="1" applyAlignment="1">
      <x:alignment horizontal="right" vertical="center"/>
    </x:xf>
    <x:xf numFmtId="0" fontId="12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2" fillId="0" borderId="13" xfId="0" applyNumberFormat="1" applyFont="1" applyFill="1" applyBorder="1" applyAlignment="1">
      <x:alignment vertical="top" wrapText="1"/>
    </x:xf>
    <x:xf numFmtId="200" fontId="11" fillId="0" borderId="13" xfId="0" applyNumberFormat="1" applyFont="1" applyFill="1" applyBorder="1" applyAlignment="1">
      <x:alignment horizontal="right" vertical="center"/>
    </x:xf>
    <x:xf numFmtId="0" fontId="1" fillId="0" borderId="8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b605c6490f4729" /><Relationship Type="http://schemas.openxmlformats.org/officeDocument/2006/relationships/theme" Target="/xl/theme/theme1.xml" Id="Rce7db087c4fc47c5" /><Relationship Type="http://schemas.openxmlformats.org/officeDocument/2006/relationships/sharedStrings" Target="/xl/sharedStrings.xml" Id="R2c421c06ac2e4129" /><Relationship Type="http://schemas.openxmlformats.org/officeDocument/2006/relationships/worksheet" Target="/xl/worksheets/sheet1.xml" Id="R5882ae58871c47e3" /><Relationship Type="http://schemas.openxmlformats.org/officeDocument/2006/relationships/worksheet" Target="/xl/worksheets/sheet2.xml" Id="R0e1ace2150e94719" /><Relationship Type="http://schemas.openxmlformats.org/officeDocument/2006/relationships/worksheet" Target="/xl/worksheets/sheet3.xml" Id="Rba6daacf403d4daf" /><Relationship Type="http://schemas.openxmlformats.org/officeDocument/2006/relationships/worksheet" Target="/xl/worksheets/sheet4.xml" Id="R89414c4b4b584594" /><Relationship Type="http://schemas.openxmlformats.org/officeDocument/2006/relationships/worksheet" Target="/xl/worksheets/sheet5.xml" Id="Rbeec741d521c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8b228540c6149d8" /><Relationship Type="http://schemas.openxmlformats.org/officeDocument/2006/relationships/chart" Target="/xl/drawings/charts/chart2.xml" Id="Ra9f455b4f31042c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Revenue and Adjusted EBITDA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Revenue</c:v>
          </c:tx>
          <c:cat>
            <c:strRef>
              <c:f>'Summary'!$N$41:$N$46</c:f>
              <c:strCache>
                <c:ptCount val="0"/>
              </c:strCache>
            </c:strRef>
          </c:cat>
          <c:val>
            <c:numRef>
              <c:f>'Summary'!$O$41:$O$46</c:f>
              <c:numCache>
                <c:formatCode>$#,##0.0;($#,##0.0);-</c:formatCode>
                <c:ptCount val="0"/>
              </c:numCache>
            </c:numRef>
          </c:val>
        </c:ser>
        <c:ser>
          <c:idx val="1"/>
          <c:order val="1"/>
          <c:tx>
            <c:v>Adjusted EBITDA</c:v>
          </c:tx>
          <c:cat>
            <c:strRef>
              <c:f>'Summary'!$N$41:$N$46</c:f>
              <c:strCache>
                <c:ptCount val="0"/>
              </c:strCache>
            </c:strRef>
          </c:cat>
          <c:val>
            <c:numRef>
              <c:f>'Summary'!$P$41:$P$46</c:f>
              <c:numCache>
                <c:formatCode>$#,##0.0;($#,##0.0);-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Debt Paydown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Ending Debt</c:v>
          </c:tx>
          <c:marker>
            <c:symbol val="none"/>
          </c:marker>
          <c:cat>
            <c:strRef>
              <c:f>'Summary'!$N$50:$N$54</c:f>
              <c:strCache>
                <c:ptCount val="0"/>
              </c:strCache>
            </c:strRef>
          </c:cat>
          <c:val>
            <c:numRef>
              <c:f>'Summary'!$O$50:$O$54</c:f>
              <c:numCache>
                <c:formatCode>$#,##0.0;($#,##0.0);-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,&quot;M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4</xdr:row>
      <xdr:rowOff>0</xdr:rowOff>
    </xdr:from>
    <xdr:to>
      <xdr:col>13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b228540c6149d8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0</xdr:colOff>
      <xdr:row>35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9f455b4f31042c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a190c971d4943da" /></Relationships>
</file>

<file path=xl/worksheets/sheet1.xml><?xml version="1.0" encoding="utf-8"?>
<x:worksheet xmlns:x="http://schemas.openxmlformats.org/spreadsheetml/2006/main">
  <x:sheetPr>
    <x:tabColor rgb="FF14315E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5" hidden="0" customWidth="1"/>
    <x:col min="4" max="4" width="16" hidden="0" customWidth="1"/>
    <x:col min="5" max="5" width="4" hidden="0" customWidth="1"/>
    <x:col min="6" max="6" width="3" hidden="0" customWidth="1"/>
    <x:col min="7" max="7" width="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19.200000762939453" hidden="0" customHeight="1">
      <x:c r="A2" s="2"/>
      <x:c r="B2" s="2"/>
      <x:c r="C2" s="4" t="str">
        <x:v>Squarespace LBO Case Study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</x:row>
    <x:row r="3" ht="15" hidden="0" customHeight="1">
      <x:c r="A3" s="2"/>
      <x:c r="B3" s="2"/>
      <x:c r="C3" s="2" t="str">
        <x:v>Selected case:</x:v>
      </x:c>
      <x:c r="D3" s="7" t="str">
        <x:f>'Assumptions'!$D$4</x:f>
        <x:v>Base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15" hidden="0" customHeight="1">
      <x:c r="A5" s="2"/>
      <x:c r="B5" s="2"/>
      <x:c r="C5" s="10" t="str">
        <x:v>Transaction Overview</x:v>
      </x:c>
      <x:c r="D5" s="10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</x:row>
    <x:row r="6" ht="15" hidden="0" customHeight="1">
      <x:c r="A6" s="2"/>
      <x:c r="B6" s="2"/>
      <x:c r="C6" s="24" t="str">
        <x:v>Entry enterprise value</x:v>
      </x:c>
      <x:c r="D6" s="25" t="n">
        <x:f>'LBO Model'!$D$35</x:f>
        <x:v>7203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</x:row>
    <x:row r="7" ht="15" hidden="0" customHeight="1">
      <x:c r="A7" s="2"/>
      <x:c r="B7" s="2"/>
      <x:c r="C7" s="26" t="str">
        <x:v>Entry EV / LTM adjusted EBITDA</x:v>
      </x:c>
      <x:c r="D7" s="27" t="n">
        <x:f>D6/'LBO Model'!$F$13</x:f>
        <x:v>30.598460518937657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</x:row>
    <x:row r="8" ht="15" hidden="0" customHeight="1">
      <x:c r="A8" s="2"/>
      <x:c r="B8" s="2"/>
      <x:c r="C8" s="26" t="str">
        <x:v>New debt / LTM adjusted EBITDA</x:v>
      </x:c>
      <x:c r="D8" s="27" t="n">
        <x:f>'LBO Model'!$D$41/'LBO Model'!$F$13</x:f>
        <x:v>5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</x:row>
    <x:row r="9" ht="15" hidden="0" customHeight="1">
      <x:c r="A9" s="2"/>
      <x:c r="B9" s="2"/>
      <x:c r="C9" s="26" t="str">
        <x:v>Sponsor cash equity</x:v>
      </x:c>
      <x:c r="D9" s="28" t="n">
        <x:f>'LBO Model'!$D$43</x:f>
        <x:v>4419.498299999999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</x:row>
    <x:row r="10" ht="15" hidden="0" customHeight="1">
      <x:c r="A10" s="2"/>
      <x:c r="B10" s="2"/>
      <x:c r="C10" s="26" t="str">
        <x:v>Legacy shareholder rollover</x:v>
      </x:c>
      <x:c r="D10" s="29" t="n">
        <x:f>'Assumptions'!$D$8</x:f>
        <x:v>0.3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</x:row>
    <x:row r="11" ht="15" hidden="0" customHeight="1">
      <x:c r="A11" s="2"/>
      <x:c r="B11" s="2"/>
      <x:c r="C11" s="30" t="str">
        <x:v>Transaction close</x:v>
      </x:c>
      <x:c r="D11" s="31" t="n">
        <x:f>'Sources'!$D$7</x:f>
        <x:v>45582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</x:row>
    <x:row r="13" ht="15" hidden="0" customHeight="1">
      <x:c r="A13" s="2"/>
      <x:c r="B13" s="2"/>
      <x:c r="C13" s="10" t="str">
        <x:v>Illustrative Sponsor Returns</x:v>
      </x:c>
      <x:c r="D13" s="10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5" hidden="0" customHeight="1">
      <x:c r="A14" s="2"/>
      <x:c r="B14" s="2"/>
      <x:c r="C14" s="24" t="str">
        <x:v>Exit adjusted EBITDA</x:v>
      </x:c>
      <x:c r="D14" s="25" t="n">
        <x:f>'LBO Model'!$K$13</x:f>
        <x:v>530.8187806375427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5" hidden="0" customHeight="1">
      <x:c r="A15" s="2"/>
      <x:c r="B15" s="2"/>
      <x:c r="C15" s="26" t="str">
        <x:v>Exit EBITDA multiple</x:v>
      </x:c>
      <x:c r="D15" s="27" t="n">
        <x:f>'Assumptions'!$D$6</x:f>
        <x:v>22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5" hidden="0" customHeight="1">
      <x:c r="A16" s="2"/>
      <x:c r="B16" s="2"/>
      <x:c r="C16" s="26" t="str">
        <x:v>Exit enterprise value</x:v>
      </x:c>
      <x:c r="D16" s="28" t="n">
        <x:f>D14*D15</x:f>
        <x:v>11678.013174025938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5" hidden="0" customHeight="1">
      <x:c r="A17" s="2"/>
      <x:c r="B17" s="2"/>
      <x:c r="C17" s="26" t="str">
        <x:v>Less: ending debt</x:v>
      </x:c>
      <x:c r="D17" s="28" t="n">
        <x:f>'LBO Model'!$K$27</x:f>
        <x:v>0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5" hidden="0" customHeight="1">
      <x:c r="A18" s="2"/>
      <x:c r="B18" s="2"/>
      <x:c r="C18" s="26" t="str">
        <x:v>Exit equity value</x:v>
      </x:c>
      <x:c r="D18" s="28" t="n">
        <x:f>D16-D17</x:f>
        <x:v>11678.013174025938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5" hidden="0" customHeight="1">
      <x:c r="A19" s="2"/>
      <x:c r="B19" s="2"/>
      <x:c r="C19" s="26" t="str">
        <x:v>Sponsor exit proceeds</x:v>
      </x:c>
      <x:c r="D19" s="28" t="n">
        <x:f>D18*(1-'Assumptions'!$D$8)</x:f>
        <x:v>8174.609221818157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5" hidden="0" customHeight="1">
      <x:c r="A20" s="2"/>
      <x:c r="B20" s="2"/>
      <x:c r="C20" s="32" t="str">
        <x:v>Sponsor MOIC</x:v>
      </x:c>
      <x:c r="D20" s="33" t="n">
        <x:f>D19/D9</x:f>
        <x:v>1.8496690499503434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5" hidden="0" customHeight="1">
      <x:c r="A21" s="2"/>
      <x:c r="B21" s="2"/>
      <x:c r="C21" s="32" t="str">
        <x:v>Sponsor IRR</x:v>
      </x:c>
      <x:c r="D21" s="34" t="n">
        <x:f>POWER(D20,1/5)-1</x:f>
        <x:v>0.13088594338321702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5" hidden="0" customHeight="1">
      <x:c r="A22" s="2"/>
      <x:c r="B22" s="2"/>
      <x:c r="C22" s="35" t="str">
        <x:v>Sources &amp; uses difference</x:v>
      </x:c>
      <x:c r="D22" s="36" t="n">
        <x:f>'LBO Model'!$D$45</x:f>
        <x:v>0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5" hidden="0" customHeight="1">
      <x:c r="A24" s="2"/>
      <x:c r="B24" s="2"/>
      <x:c r="C24" s="38" t="str">
        <x:v>Model note</x:v>
      </x:c>
      <x:c r="D24" s="38"/>
      <x:c r="E24" s="38"/>
      <x:c r="F24" s="38"/>
      <x:c r="G24" s="38"/>
      <x:c r="H24" s="38"/>
      <x:c r="I24" s="38"/>
      <x:c r="J24" s="38"/>
      <x:c r="K24" s="38"/>
      <x:c r="L24" s="38"/>
      <x:c r="M24" s="38"/>
      <x:c r="N24" s="38"/>
      <x:c r="O24" s="38"/>
      <x:c r="P24" s="38"/>
      <x:c r="Q24" s="38"/>
      <x:c r="R24" s="38"/>
      <x:c r="S24" s="38"/>
      <x:c r="T24" s="38"/>
      <x:c r="U24" s="38"/>
      <x:c r="V24" s="38"/>
    </x:row>
    <x:row r="25" ht="54" hidden="0" customHeight="1">
      <x:c r="A25" s="2"/>
      <x:c r="B25" s="2"/>
      <x:c r="C25" s="41" t="str">
        <x:v>The transaction terms and historical financials are public. Debt financing, rollover percentage, operational assumptions, fees and exit multiple are illustrative case-study assumptions, not disclosures by Permira or Squarespace.</x:v>
      </x:c>
      <x:c r="D25" s="41"/>
      <x:c r="E25" s="41"/>
      <x:c r="F25" s="41"/>
      <x:c r="G25" s="41"/>
      <x:c r="H25" s="41"/>
      <x:c r="I25" s="41"/>
      <x:c r="J25" s="41"/>
      <x:c r="K25" s="41"/>
      <x:c r="L25" s="41"/>
      <x:c r="M25" s="41"/>
      <x:c r="N25" s="41"/>
      <x:c r="O25" s="41"/>
      <x:c r="P25" s="41"/>
      <x:c r="Q25" s="41"/>
      <x:c r="R25" s="41"/>
      <x:c r="S25" s="41"/>
      <x:c r="T25" s="41"/>
      <x:c r="U25" s="41"/>
      <x:c r="V25" s="41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42" t="str">
        <x:v>Period</x:v>
      </x:c>
      <x:c r="O40" s="42" t="str">
        <x:v>Revenue</x:v>
      </x:c>
      <x:c r="P40" s="42" t="str">
        <x:v>Adjusted EBITDA</x:v>
      </x:c>
      <x:c r="Q40" s="2"/>
      <x:c r="R40" s="2"/>
      <x:c r="S40" s="2"/>
      <x:c r="T40" s="2"/>
      <x:c r="U40" s="2"/>
      <x:c r="V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 t="str">
        <x:v>FY2023A</x:v>
      </x:c>
      <x:c r="O41" s="11" t="n">
        <x:f>'LBO Model'!$F$10</x:f>
        <x:v>1012.336</x:v>
      </x:c>
      <x:c r="P41" s="11" t="n">
        <x:f>'LBO Model'!$F$13</x:f>
        <x:v>235.404</x:v>
      </x:c>
      <x:c r="Q41" s="2"/>
      <x:c r="R41" s="2"/>
      <x:c r="S41" s="2"/>
      <x:c r="T41" s="2"/>
      <x:c r="U41" s="2"/>
      <x:c r="V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 t="str">
        <x:v>FY2024E</x:v>
      </x:c>
      <x:c r="O42" s="11" t="n">
        <x:f>'LBO Model'!$G$10</x:f>
        <x:v>1164.1863999999998</x:v>
      </x:c>
      <x:c r="P42" s="11" t="n">
        <x:f>'LBO Model'!$G$13</x:f>
        <x:v>291.04659999999996</x:v>
      </x:c>
      <x:c r="Q42" s="2"/>
      <x:c r="R42" s="2"/>
      <x:c r="S42" s="2"/>
      <x:c r="T42" s="2"/>
      <x:c r="U42" s="2"/>
      <x:c r="V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 t="str">
        <x:v>FY2025E</x:v>
      </x:c>
      <x:c r="O43" s="11" t="n">
        <x:f>'LBO Model'!$H$10</x:f>
        <x:v>1338.8143599999996</x:v>
      </x:c>
      <x:c r="P43" s="11" t="n">
        <x:f>'LBO Model'!$H$13</x:f>
        <x:v>348.09173359999994</x:v>
      </x:c>
      <x:c r="Q43" s="2"/>
      <x:c r="R43" s="2"/>
      <x:c r="S43" s="2"/>
      <x:c r="T43" s="2"/>
      <x:c r="U43" s="2"/>
      <x:c r="V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 t="str">
        <x:v>FY2026E</x:v>
      </x:c>
      <x:c r="O44" s="11" t="n">
        <x:f>'LBO Model'!$I$10</x:f>
        <x:v>1512.8602267999995</x:v>
      </x:c>
      <x:c r="P44" s="11" t="n">
        <x:f>'LBO Model'!$I$13</x:f>
        <x:v>408.4722612359999</x:v>
      </x:c>
      <x:c r="Q44" s="2"/>
      <x:c r="R44" s="2"/>
      <x:c r="S44" s="2"/>
      <x:c r="T44" s="2"/>
      <x:c r="U44" s="2"/>
      <x:c r="V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 t="str">
        <x:v>FY2027E</x:v>
      </x:c>
      <x:c r="O45" s="11" t="n">
        <x:f>'LBO Model'!$J$10</x:f>
        <x:v>1679.2748517479995</x:v>
      </x:c>
      <x:c r="P45" s="11" t="n">
        <x:f>'LBO Model'!$J$13</x:f>
        <x:v>470.1969584894399</x:v>
      </x:c>
      <x:c r="Q45" s="2"/>
      <x:c r="R45" s="2"/>
      <x:c r="S45" s="2"/>
      <x:c r="T45" s="2"/>
      <x:c r="U45" s="2"/>
      <x:c r="V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 t="str">
        <x:v>FY2028E</x:v>
      </x:c>
      <x:c r="O46" s="11" t="n">
        <x:f>'LBO Model'!$K$10</x:f>
        <x:v>1830.4095884053195</x:v>
      </x:c>
      <x:c r="P46" s="11" t="n">
        <x:f>'LBO Model'!$K$13</x:f>
        <x:v>530.8187806375427</x:v>
      </x:c>
      <x:c r="Q46" s="2"/>
      <x:c r="R46" s="2"/>
      <x:c r="S46" s="2"/>
      <x:c r="T46" s="2"/>
      <x:c r="U46" s="2"/>
      <x:c r="V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42" t="str">
        <x:v>Period</x:v>
      </x:c>
      <x:c r="O49" s="42" t="str">
        <x:v>Ending Debt</x:v>
      </x:c>
      <x:c r="P49" s="2"/>
      <x:c r="Q49" s="2"/>
      <x:c r="R49" s="2"/>
      <x:c r="S49" s="2"/>
      <x:c r="T49" s="2"/>
      <x:c r="U49" s="2"/>
      <x:c r="V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 t="str">
        <x:v>FY2024E</x:v>
      </x:c>
      <x:c r="O50" s="11" t="n">
        <x:f>'LBO Model'!$G$27</x:f>
        <x:v>1038.1509190000002</x:v>
      </x:c>
      <x:c r="P50" s="2"/>
      <x:c r="Q50" s="2"/>
      <x:c r="R50" s="2"/>
      <x:c r="S50" s="2"/>
      <x:c r="T50" s="2"/>
      <x:c r="U50" s="2"/>
      <x:c r="V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 t="str">
        <x:v>FY2025E</x:v>
      </x:c>
      <x:c r="O51" s="11" t="n">
        <x:f>'LBO Model'!$H$27</x:f>
        <x:v>849.4850432900002</x:v>
      </x:c>
      <x:c r="P51" s="2"/>
      <x:c r="Q51" s="2"/>
      <x:c r="R51" s="2"/>
      <x:c r="S51" s="2"/>
      <x:c r="T51" s="2"/>
      <x:c r="U51" s="2"/>
      <x:c r="V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 t="str">
        <x:v>FY2026E</x:v>
      </x:c>
      <x:c r="O52" s="11" t="n">
        <x:f>'LBO Model'!$I$27</x:f>
        <x:v>605.2957850459004</x:v>
      </x:c>
      <x:c r="P52" s="2"/>
      <x:c r="Q52" s="2"/>
      <x:c r="R52" s="2"/>
      <x:c r="S52" s="2"/>
      <x:c r="T52" s="2"/>
      <x:c r="U52" s="2"/>
      <x:c r="V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 t="str">
        <x:v>FY2027E</x:v>
      </x:c>
      <x:c r="O53" s="11" t="n">
        <x:f>'LBO Model'!$J$27</x:f>
        <x:v>301.1254273544794</x:v>
      </x:c>
      <x:c r="P53" s="2"/>
      <x:c r="Q53" s="2"/>
      <x:c r="R53" s="2"/>
      <x:c r="S53" s="2"/>
      <x:c r="T53" s="2"/>
      <x:c r="U53" s="2"/>
      <x:c r="V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 t="str">
        <x:v>FY2028E</x:v>
      </x:c>
      <x:c r="O54" s="11" t="n">
        <x:f>'LBO Model'!$K$27</x:f>
        <x:v>0</x:v>
      </x:c>
      <x:c r="P54" s="2"/>
      <x:c r="Q54" s="2"/>
      <x:c r="R54" s="2"/>
      <x:c r="S54" s="2"/>
      <x:c r="T54" s="2"/>
      <x:c r="U54" s="2"/>
      <x:c r="V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pageMargins left="0.7" right="0.7" top="0.75" bottom="0.75" header="0.3" footer="0.3"/>
  <x:drawing xmlns:r="http://schemas.openxmlformats.org/officeDocument/2006/relationships" r:id="Rda190c971d4943da"/>
</x:worksheet>
</file>

<file path=xl/worksheets/sheet2.xml><?xml version="1.0" encoding="utf-8"?>
<x:worksheet xmlns:x="http://schemas.openxmlformats.org/spreadsheetml/2006/main">
  <x:sheetPr>
    <x:tabColor rgb="FF4F81BD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8" hidden="0" customWidth="1"/>
    <x:col min="4" max="4" width="17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3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19.200000762939453" hidden="0" customHeight="1">
      <x:c r="A2" s="2"/>
      <x:c r="B2" s="2"/>
      <x:c r="C2" s="4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15" hidden="0" customHeight="1">
      <x:c r="A3" s="2"/>
      <x:c r="B3" s="2"/>
      <x:c r="C3" s="24" t="str">
        <x:v>Case selector (1=Base, 2=Downside, 3=Upside)</x:v>
      </x:c>
      <x:c r="D3" s="51" t="n">
        <x:v>1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5" hidden="0" customHeight="1">
      <x:c r="A4" s="2"/>
      <x:c r="B4" s="2"/>
      <x:c r="C4" s="26" t="str">
        <x:v>Selected case</x:v>
      </x:c>
      <x:c r="D4" s="52" t="str">
        <x:f>CHOOSE(D3,"Base","Downside","Upside")</x:f>
        <x:v>Base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15" hidden="0" customHeight="1">
      <x:c r="A5" s="2"/>
      <x:c r="B5" s="2"/>
      <x:c r="C5" s="26" t="str">
        <x:v>Revenue growth adjustment</x:v>
      </x:c>
      <x:c r="D5" s="53" t="n">
        <x:v>0</x:v>
      </x:c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</x:row>
    <x:row r="6" ht="15" hidden="0" customHeight="1">
      <x:c r="A6" s="2"/>
      <x:c r="B6" s="2"/>
      <x:c r="C6" s="26" t="str">
        <x:v>Exit EBITDA multiple</x:v>
      </x:c>
      <x:c r="D6" s="54" t="n">
        <x:v>22</x:v>
      </x:c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</x:row>
    <x:row r="7" ht="15" hidden="0" customHeight="1">
      <x:c r="A7" s="2"/>
      <x:c r="B7" s="2"/>
      <x:c r="C7" s="26" t="str">
        <x:v>Entry debt / LTM adjusted EBITDA</x:v>
      </x:c>
      <x:c r="D7" s="54" t="n">
        <x:v>5</x:v>
      </x:c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</x:row>
    <x:row r="8" ht="15" hidden="0" customHeight="1">
      <x:c r="A8" s="2"/>
      <x:c r="B8" s="2"/>
      <x:c r="C8" s="26" t="str">
        <x:v>Legacy shareholder rollover %</x:v>
      </x:c>
      <x:c r="D8" s="53" t="n">
        <x:v>0.3</x:v>
      </x:c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</x:row>
    <x:row r="9" ht="15" hidden="0" customHeight="1">
      <x:c r="A9" s="2"/>
      <x:c r="B9" s="2"/>
      <x:c r="C9" s="26" t="str">
        <x:v>Transaction fees</x:v>
      </x:c>
      <x:c r="D9" s="55" t="n">
        <x:v>150</x:v>
      </x:c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</x:row>
    <x:row r="10" ht="15" hidden="0" customHeight="1">
      <x:c r="A10" s="2"/>
      <x:c r="B10" s="2"/>
      <x:c r="C10" s="26" t="str">
        <x:v>Cash tax rate</x:v>
      </x:c>
      <x:c r="D10" s="53" t="n">
        <x:v>0.25</x:v>
      </x:c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</x:row>
    <x:row r="11" ht="15" hidden="0" customHeight="1">
      <x:c r="A11" s="2"/>
      <x:c r="B11" s="2"/>
      <x:c r="C11" s="26" t="str">
        <x:v>Cash interest rate</x:v>
      </x:c>
      <x:c r="D11" s="53" t="n">
        <x:v>0.08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</x:row>
    <x:row r="12" ht="15" hidden="0" customHeight="1">
      <x:c r="A12" s="2"/>
      <x:c r="B12" s="2"/>
      <x:c r="C12" s="26" t="str">
        <x:v>D&amp;A as % of revenue</x:v>
      </x:c>
      <x:c r="D12" s="53" t="n">
        <x:v>0.043</x:v>
      </x:c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</x:row>
    <x:row r="13" ht="15" hidden="0" customHeight="1">
      <x:c r="A13" s="2"/>
      <x:c r="B13" s="2"/>
      <x:c r="C13" s="26" t="str">
        <x:v>Capex as % of revenue</x:v>
      </x:c>
      <x:c r="D13" s="53" t="n">
        <x:v>0.017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5" hidden="0" customHeight="1">
      <x:c r="A14" s="2"/>
      <x:c r="B14" s="2"/>
      <x:c r="C14" s="26" t="str">
        <x:v>Change in NWC as % of revenue growth</x:v>
      </x:c>
      <x:c r="D14" s="53" t="n">
        <x:v>0.01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5" hidden="0" customHeight="1">
      <x:c r="A15" s="2"/>
      <x:c r="B15" s="2"/>
      <x:c r="C15" s="30" t="str">
        <x:v>Holding period (years)</x:v>
      </x:c>
      <x:c r="D15" s="56" t="n">
        <x:v>5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5" hidden="0" customHeight="1">
      <x:c r="A18" s="2"/>
      <x:c r="B18" s="2"/>
      <x:c r="C18" s="10" t="str">
        <x:v>Operating Assumptions by Case</x:v>
      </x:c>
      <x:c r="D18" s="10"/>
      <x:c r="E18" s="10"/>
      <x:c r="F18" s="10"/>
      <x:c r="G18" s="10"/>
      <x:c r="H18" s="10"/>
      <x:c r="I18" s="10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5" hidden="0" customHeight="1">
      <x:c r="A19" s="2"/>
      <x:c r="B19" s="2"/>
      <x:c r="C19" s="58" t="str">
        <x:v>Driver</x:v>
      </x:c>
      <x:c r="D19" s="59" t="str">
        <x:v>FY2024E</x:v>
      </x:c>
      <x:c r="E19" s="59" t="str">
        <x:v>FY2025E</x:v>
      </x:c>
      <x:c r="F19" s="59" t="str">
        <x:v>FY2026E</x:v>
      </x:c>
      <x:c r="G19" s="59" t="str">
        <x:v>FY2027E</x:v>
      </x:c>
      <x:c r="H19" s="60" t="str">
        <x:v>FY2028E</x:v>
      </x:c>
      <x:c r="I19" s="2" t="str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5" hidden="0" customHeight="1">
      <x:c r="A20" s="2"/>
      <x:c r="B20" s="2"/>
      <x:c r="C20" s="72" t="str">
        <x:v>Revenue growth - active selection</x:v>
      </x:c>
      <x:c r="D20" s="67" t="n">
        <x:f>CHOOSE($D$3,D21,D22,D23)+$D$5</x:f>
        <x:v>0.15</x:v>
      </x:c>
      <x:c r="E20" s="67" t="n">
        <x:f>CHOOSE($D$3,E21,E22,E23)+$D$5</x:f>
        <x:v>0.15</x:v>
      </x:c>
      <x:c r="F20" s="67" t="n">
        <x:f>CHOOSE($D$3,F21,F22,F23)+$D$5</x:f>
        <x:v>0.13</x:v>
      </x:c>
      <x:c r="G20" s="67" t="n">
        <x:f>CHOOSE($D$3,G21,G22,G23)+$D$5</x:f>
        <x:v>0.11</x:v>
      </x:c>
      <x:c r="H20" s="68" t="n">
        <x:f>CHOOSE($D$3,H21,H22,H23)+$D$5</x:f>
        <x:v>0.09</x:v>
      </x:c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5" hidden="0" customHeight="1">
      <x:c r="A21" s="2"/>
      <x:c r="B21" s="2"/>
      <x:c r="C21" s="73" t="str">
        <x:v>Revenue growth - Base</x:v>
      </x:c>
      <x:c r="D21" s="47" t="n">
        <x:v>0.15</x:v>
      </x:c>
      <x:c r="E21" s="47" t="n">
        <x:v>0.15</x:v>
      </x:c>
      <x:c r="F21" s="47" t="n">
        <x:v>0.13</x:v>
      </x:c>
      <x:c r="G21" s="47" t="n">
        <x:v>0.11</x:v>
      </x:c>
      <x:c r="H21" s="53" t="n">
        <x:v>0.09</x:v>
      </x:c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5" hidden="0" customHeight="1">
      <x:c r="A22" s="2"/>
      <x:c r="B22" s="2"/>
      <x:c r="C22" s="73" t="str">
        <x:v>Revenue growth - Downside</x:v>
      </x:c>
      <x:c r="D22" s="47" t="n">
        <x:v>0.1</x:v>
      </x:c>
      <x:c r="E22" s="47" t="n">
        <x:v>0.08</x:v>
      </x:c>
      <x:c r="F22" s="47" t="n">
        <x:v>0.06</x:v>
      </x:c>
      <x:c r="G22" s="47" t="n">
        <x:v>0.05</x:v>
      </x:c>
      <x:c r="H22" s="53" t="n">
        <x:v>0.05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5" hidden="0" customHeight="1">
      <x:c r="A23" s="2"/>
      <x:c r="B23" s="2"/>
      <x:c r="C23" s="73" t="str">
        <x:v>Revenue growth - Upside</x:v>
      </x:c>
      <x:c r="D23" s="47" t="n">
        <x:v>0.2</x:v>
      </x:c>
      <x:c r="E23" s="47" t="n">
        <x:v>0.18</x:v>
      </x:c>
      <x:c r="F23" s="47" t="n">
        <x:v>0.16</x:v>
      </x:c>
      <x:c r="G23" s="47" t="n">
        <x:v>0.14</x:v>
      </x:c>
      <x:c r="H23" s="53" t="n">
        <x:v>0.12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5" hidden="0" customHeight="1">
      <x:c r="A24" s="2"/>
      <x:c r="B24" s="2"/>
      <x:c r="C24" s="73"/>
      <x:c r="D24" s="13"/>
      <x:c r="E24" s="13"/>
      <x:c r="F24" s="13"/>
      <x:c r="G24" s="13"/>
      <x:c r="H24" s="63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</x:row>
    <x:row r="25" ht="15" hidden="0" customHeight="1">
      <x:c r="A25" s="2"/>
      <x:c r="B25" s="2"/>
      <x:c r="C25" s="74" t="str">
        <x:v>Adjusted EBITDA margin - active selection</x:v>
      </x:c>
      <x:c r="D25" s="70" t="n">
        <x:f>CHOOSE($D$3,D26,D27,D28)</x:f>
        <x:v>0.25</x:v>
      </x:c>
      <x:c r="E25" s="70" t="n">
        <x:f>CHOOSE($D$3,E26,E27,E28)</x:f>
        <x:v>0.26</x:v>
      </x:c>
      <x:c r="F25" s="70" t="n">
        <x:f>CHOOSE($D$3,F26,F27,F28)</x:f>
        <x:v>0.27</x:v>
      </x:c>
      <x:c r="G25" s="70" t="n">
        <x:f>CHOOSE($D$3,G26,G27,G28)</x:f>
        <x:v>0.28</x:v>
      </x:c>
      <x:c r="H25" s="71" t="n">
        <x:f>CHOOSE($D$3,H26,H27,H28)</x:f>
        <x:v>0.29</x:v>
      </x:c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</x:row>
    <x:row r="26" ht="15" hidden="0" customHeight="1">
      <x:c r="A26" s="2"/>
      <x:c r="B26" s="2"/>
      <x:c r="C26" s="73" t="str">
        <x:v>Adjusted EBITDA margin - Base</x:v>
      </x:c>
      <x:c r="D26" s="47" t="n">
        <x:v>0.25</x:v>
      </x:c>
      <x:c r="E26" s="47" t="n">
        <x:v>0.26</x:v>
      </x:c>
      <x:c r="F26" s="47" t="n">
        <x:v>0.27</x:v>
      </x:c>
      <x:c r="G26" s="47" t="n">
        <x:v>0.28</x:v>
      </x:c>
      <x:c r="H26" s="53" t="n">
        <x:v>0.29</x:v>
      </x:c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5" hidden="0" customHeight="1">
      <x:c r="A27" s="2"/>
      <x:c r="B27" s="2"/>
      <x:c r="C27" s="73" t="str">
        <x:v>Adjusted EBITDA margin - Downside</x:v>
      </x:c>
      <x:c r="D27" s="47" t="n">
        <x:v>0.24</x:v>
      </x:c>
      <x:c r="E27" s="47" t="n">
        <x:v>0.245</x:v>
      </x:c>
      <x:c r="F27" s="47" t="n">
        <x:v>0.255</x:v>
      </x:c>
      <x:c r="G27" s="47" t="n">
        <x:v>0.265</x:v>
      </x:c>
      <x:c r="H27" s="53" t="n">
        <x:v>0.27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15" hidden="0" customHeight="1">
      <x:c r="A28" s="2"/>
      <x:c r="B28" s="2"/>
      <x:c r="C28" s="75" t="str">
        <x:v>Adjusted EBITDA margin - Upside</x:v>
      </x:c>
      <x:c r="D28" s="64" t="n">
        <x:v>0.26</x:v>
      </x:c>
      <x:c r="E28" s="64" t="n">
        <x:v>0.28</x:v>
      </x:c>
      <x:c r="F28" s="64" t="n">
        <x:v>0.3</x:v>
      </x:c>
      <x:c r="G28" s="64" t="n">
        <x:v>0.31</x:v>
      </x:c>
      <x:c r="H28" s="65" t="n">
        <x:v>0.32</x:v>
      </x:c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</x:row>
    <x:row r="46" ht="15" hidden="0" customHeight="1">
      <x:c r="A46" s="2"/>
      <x:c r="B46" s="2"/>
      <x:c r="C46" s="10" t="str">
        <x:v>Sponsor IRR Sensitivity</x:v>
      </x:c>
      <x:c r="D46" s="10"/>
      <x:c r="E46" s="10"/>
      <x:c r="F46" s="10"/>
      <x:c r="G46" s="10"/>
      <x:c r="H46" s="10"/>
      <x:c r="I46" s="10"/>
      <x:c r="J46" s="10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</x:row>
    <x:row r="47" ht="15" hidden="0" customHeight="1">
      <x:c r="A47" s="2"/>
      <x:c r="B47" s="2"/>
      <x:c r="C47" s="39" t="str">
        <x:v>Rows: Exit EBITDA multiple</x:v>
      </x:c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5" hidden="0" customHeight="1">
      <x:c r="A48" s="2"/>
      <x:c r="B48" s="2"/>
      <x:c r="C48" s="39" t="str">
        <x:v>Columns: Revenue growth adjustment</x:v>
      </x:c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</x:row>
    <x:row r="50" ht="15" hidden="0" customHeight="1">
      <x:c r="A50" s="2"/>
      <x:c r="B50" s="2"/>
      <x:c r="C50" s="2"/>
      <x:c r="D50" s="2"/>
      <x:c r="E50" s="77" t="n">
        <x:f>'Summary'!$D$21</x:f>
        <x:v>0.13088594338321702</x:v>
      </x:c>
      <x:c r="F50" s="80" t="n">
        <x:v>-0.04</x:v>
      </x:c>
      <x:c r="G50" s="80" t="n">
        <x:v>-0.02</x:v>
      </x:c>
      <x:c r="H50" s="80" t="n">
        <x:v>0</x:v>
      </x:c>
      <x:c r="I50" s="80" t="n">
        <x:v>0.02</x:v>
      </x:c>
      <x:c r="J50" s="80" t="n">
        <x:v>0.04</x:v>
      </x:c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</x:row>
    <x:row r="51" ht="15" hidden="0" customHeight="1">
      <x:c r="A51" s="2"/>
      <x:c r="B51" s="2"/>
      <x:c r="C51" s="2"/>
      <x:c r="D51" s="2"/>
      <x:c r="E51" s="83" t="n">
        <x:v>18</x:v>
      </x:c>
      <x:c r="F51" s="84" t="n">
        <x:f t="dataTable" ref="F51:J55" dt2D="1" r1="D5" r2="D6"/>
        <x:v>0.0449648263847</x:v>
      </x:c>
      <x:c r="G51" s="84" t="n">
        <x:v>0.0665406167813</x:v>
      </x:c>
      <x:c r="H51" s="84" t="n">
        <x:v>0.0863975331349</x:v>
      </x:c>
      <x:c r="I51" s="84" t="n">
        <x:v>0.1057023887299</x:v>
      </x:c>
      <x:c r="J51" s="84" t="n">
        <x:v>0.125007102494</x:v>
      </x:c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5" hidden="0" customHeight="1">
      <x:c r="A52" s="2"/>
      <x:c r="B52" s="2"/>
      <x:c r="C52" s="2"/>
      <x:c r="D52" s="2"/>
      <x:c r="E52" s="83" t="n">
        <x:v>20</x:v>
      </x:c>
      <x:c r="F52" s="84" t="n">
        <x:v>0.0675077397009</x:v>
      </x:c>
      <x:c r="G52" s="84" t="n">
        <x:v>0.0893097515428</x:v>
      </x:c>
      <x:c r="H52" s="84" t="n">
        <x:v>0.1095331156101</x:v>
      </x:c>
      <x:c r="I52" s="84" t="n">
        <x:v>0.1292490813791</x:v>
      </x:c>
      <x:c r="J52" s="84" t="n">
        <x:v>0.1489649022967</x:v>
      </x:c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5" hidden="0" customHeight="1">
      <x:c r="A53" s="2"/>
      <x:c r="B53" s="2"/>
      <x:c r="C53" s="2"/>
      <x:c r="D53" s="2"/>
      <x:c r="E53" s="83" t="n">
        <x:v>22</x:v>
      </x:c>
      <x:c r="F53" s="84" t="n">
        <x:v>0.0882931190031</x:v>
      </x:c>
      <x:c r="G53" s="84" t="n">
        <x:v>0.1103204236533</x:v>
      </x:c>
      <x:c r="H53" s="85" t="n">
        <x:v>0.1308859433832</x:v>
      </x:c>
      <x:c r="I53" s="84" t="n">
        <x:v>0.1509813404783</x:v>
      </x:c>
      <x:c r="J53" s="84" t="n">
        <x:v>0.1710765899344</x:v>
      </x:c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5" hidden="0" customHeight="1">
      <x:c r="A54" s="2"/>
      <x:c r="B54" s="2"/>
      <x:c r="C54" s="2"/>
      <x:c r="D54" s="2"/>
      <x:c r="E54" s="83" t="n">
        <x:v>24</x:v>
      </x:c>
      <x:c r="F54" s="84" t="n">
        <x:v>0.1076021125067</x:v>
      </x:c>
      <x:c r="G54" s="84" t="n">
        <x:v>0.1298515115718</x:v>
      </x:c>
      <x:c r="H54" s="84" t="n">
        <x:v>0.1507381679531</x:v>
      </x:c>
      <x:c r="I54" s="84" t="n">
        <x:v>0.1711863312474</x:v>
      </x:c>
      <x:c r="J54" s="84" t="n">
        <x:v>0.1916343443109</x:v>
      </x:c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5" hidden="0" customHeight="1">
      <x:c r="A55" s="2"/>
      <x:c r="B55" s="2"/>
      <x:c r="C55" s="2"/>
      <x:c r="D55" s="2"/>
      <x:c r="E55" s="83" t="n">
        <x:v>26</x:v>
      </x:c>
      <x:c r="F55" s="84" t="n">
        <x:v>0.1256515753277</x:v>
      </x:c>
      <x:c r="G55" s="84" t="n">
        <x:v>0.1481186242358</x:v>
      </x:c>
      <x:c r="H55" s="84" t="n">
        <x:v>0.1693080494915</x:v>
      </x:c>
      <x:c r="I55" s="84" t="n">
        <x:v>0.1900861922551</x:v>
      </x:c>
      <x:c r="J55" s="84" t="n">
        <x:v>0.2108641823637</x:v>
      </x:c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dataValidations count="1">
    <x:dataValidation type="list" sqref="D3">
      <x:formula1>"1,2,3"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F8FA6"/>
  </x:sheetPr>
  <x:sheetViews>
    <x:sheetView showGridLines="0" workbookViewId="0">
      <x:pane xSplit="3" ySplit="7" topLeftCell="D8" activePane="bottomRight" state="frozen"/>
    </x:sheetView>
  </x:sheetViews>
  <x:sheetFormatPr defaultRowHeight="15"/>
  <x:cols>
    <x:col min="1" max="1" width="3" hidden="0" customWidth="1"/>
    <x:col min="2" max="2" width="3" hidden="0" customWidth="1"/>
    <x:col min="3" max="3" width="40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3" hidden="0" customWidth="1"/>
    <x:col min="13" max="13" width="16" hidden="0" customWidth="1"/>
    <x:col min="14" max="14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19.200000762939453" hidden="0" customHeight="1">
      <x:c r="A2" s="2"/>
      <x:c r="B2" s="2"/>
      <x:c r="C2" s="4" t="str">
        <x:v>LBO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15" hidden="0" customHeight="1">
      <x:c r="A3" s="2"/>
      <x:c r="B3" s="2"/>
      <x:c r="C3" s="2" t="str">
        <x:v>Selected case:</x:v>
      </x:c>
      <x:c r="D3" s="86" t="str">
        <x:f>'Assumptions'!$D$4</x:f>
        <x:v>Base</x:v>
      </x:c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15" hidden="0" customHeight="1">
      <x:c r="A5" s="2"/>
      <x:c r="B5" s="2"/>
      <x:c r="C5" s="10" t="str">
        <x:v>Operating Model</x:v>
      </x:c>
      <x:c r="D5" s="10"/>
      <x:c r="E5" s="10"/>
      <x:c r="F5" s="10"/>
      <x:c r="G5" s="10"/>
      <x:c r="H5" s="10"/>
      <x:c r="I5" s="10"/>
      <x:c r="J5" s="10"/>
      <x:c r="K5" s="10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</x:row>
    <x:row r="6" ht="15" hidden="0" customHeight="1">
      <x:c r="A6" s="2"/>
      <x:c r="B6" s="2"/>
      <x:c r="C6" s="87" t="str">
        <x:v>Fiscal year</x:v>
      </x:c>
      <x:c r="D6" s="88" t="n">
        <x:v>2021</x:v>
      </x:c>
      <x:c r="E6" s="88" t="n">
        <x:v>2022</x:v>
      </x:c>
      <x:c r="F6" s="88" t="n">
        <x:v>2023</x:v>
      </x:c>
      <x:c r="G6" s="88" t="n">
        <x:v>2024</x:v>
      </x:c>
      <x:c r="H6" s="88" t="n">
        <x:v>2025</x:v>
      </x:c>
      <x:c r="I6" s="88" t="n">
        <x:v>2026</x:v>
      </x:c>
      <x:c r="J6" s="88" t="n">
        <x:v>2027</x:v>
      </x:c>
      <x:c r="K6" s="89" t="n">
        <x:v>2028</x:v>
      </x:c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</x:row>
    <x:row r="7" ht="15" hidden="0" customHeight="1">
      <x:c r="A7" s="2"/>
      <x:c r="B7" s="2"/>
      <x:c r="C7" s="90" t="str">
        <x:v>Period</x:v>
      </x:c>
      <x:c r="D7" s="91" t="str">
        <x:v>A</x:v>
      </x:c>
      <x:c r="E7" s="91" t="str">
        <x:v>A</x:v>
      </x:c>
      <x:c r="F7" s="91" t="str">
        <x:v>A</x:v>
      </x:c>
      <x:c r="G7" s="91" t="str">
        <x:v>E</x:v>
      </x:c>
      <x:c r="H7" s="91" t="str">
        <x:v>E</x:v>
      </x:c>
      <x:c r="I7" s="91" t="str">
        <x:v>E</x:v>
      </x:c>
      <x:c r="J7" s="91" t="str">
        <x:v>E</x:v>
      </x:c>
      <x:c r="K7" s="92" t="str">
        <x:v>E</x:v>
      </x:c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</x:row>
    <x:row r="8" ht="15" hidden="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</x:row>
    <x:row r="9" ht="15" hidden="0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</x:row>
    <x:row r="10" ht="15" hidden="0" customHeight="1">
      <x:c r="A10" s="2"/>
      <x:c r="B10" s="2"/>
      <x:c r="C10" s="24" t="str">
        <x:v>Revenue</x:v>
      </x:c>
      <x:c r="D10" s="104" t="n">
        <x:f>'Sources'!$D$16</x:f>
        <x:v>784.038</x:v>
      </x:c>
      <x:c r="E10" s="104" t="n">
        <x:f>'Sources'!$E$16</x:f>
        <x:v>866.972</x:v>
      </x:c>
      <x:c r="F10" s="104" t="n">
        <x:f>'Sources'!$F$16</x:f>
        <x:v>1012.336</x:v>
      </x:c>
      <x:c r="G10" s="105" t="n">
        <x:f>F10*(1+'Assumptions'!D20)</x:f>
        <x:v>1164.1863999999998</x:v>
      </x:c>
      <x:c r="H10" s="105" t="n">
        <x:f>G10*(1+'Assumptions'!E20)</x:f>
        <x:v>1338.8143599999996</x:v>
      </x:c>
      <x:c r="I10" s="105" t="n">
        <x:f>H10*(1+'Assumptions'!F20)</x:f>
        <x:v>1512.8602267999995</x:v>
      </x:c>
      <x:c r="J10" s="105" t="n">
        <x:f>I10*(1+'Assumptions'!G20)</x:f>
        <x:v>1679.2748517479995</x:v>
      </x:c>
      <x:c r="K10" s="25" t="n">
        <x:f>J10*(1+'Assumptions'!H20)</x:f>
        <x:v>1830.4095884053195</x:v>
      </x:c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</x:row>
    <x:row r="11" ht="15" hidden="0" customHeight="1">
      <x:c r="A11" s="2"/>
      <x:c r="B11" s="2"/>
      <x:c r="C11" s="26" t="str">
        <x:v>Growth</x:v>
      </x:c>
      <x:c r="D11" s="96"/>
      <x:c r="E11" s="96" t="n">
        <x:f>E10/D10-1</x:f>
        <x:v>0.10577803626865023</x:v>
      </x:c>
      <x:c r="F11" s="96" t="n">
        <x:f>F10/E10-1</x:f>
        <x:v>0.16766862136262772</x:v>
      </x:c>
      <x:c r="G11" s="17" t="n">
        <x:f>G10/F10-1</x:f>
        <x:v>0.1499999999999999</x:v>
      </x:c>
      <x:c r="H11" s="17" t="n">
        <x:f>H10/G10-1</x:f>
        <x:v>0.1499999999999999</x:v>
      </x:c>
      <x:c r="I11" s="17" t="n">
        <x:f>I10/H10-1</x:f>
        <x:v>0.1299999999999999</x:v>
      </x:c>
      <x:c r="J11" s="17" t="n">
        <x:f>J10/I10-1</x:f>
        <x:v>0.1100000000000001</x:v>
      </x:c>
      <x:c r="K11" s="29" t="n">
        <x:f>K10/J10-1</x:f>
        <x:v>0.09000000000000008</x:v>
      </x:c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</x:row>
    <x:row r="12" ht="15" hidden="0" customHeight="1">
      <x:c r="A12" s="2"/>
      <x:c r="B12" s="2"/>
      <x:c r="C12" s="26" t="str">
        <x:v>Adjusted EBITDA margin - forecast input</x:v>
      </x:c>
      <x:c r="D12" s="96"/>
      <x:c r="E12" s="96"/>
      <x:c r="F12" s="96"/>
      <x:c r="G12" s="17" t="n">
        <x:f>'Assumptions'!D25</x:f>
        <x:v>0.25</x:v>
      </x:c>
      <x:c r="H12" s="17" t="n">
        <x:f>'Assumptions'!E25</x:f>
        <x:v>0.26</x:v>
      </x:c>
      <x:c r="I12" s="17" t="n">
        <x:f>'Assumptions'!F25</x:f>
        <x:v>0.27</x:v>
      </x:c>
      <x:c r="J12" s="17" t="n">
        <x:f>'Assumptions'!G25</x:f>
        <x:v>0.28</x:v>
      </x:c>
      <x:c r="K12" s="29" t="n">
        <x:f>'Assumptions'!H25</x:f>
        <x:v>0.29</x:v>
      </x:c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</x:row>
    <x:row r="13" ht="15" hidden="0" customHeight="1">
      <x:c r="A13" s="2"/>
      <x:c r="B13" s="2"/>
      <x:c r="C13" s="32" t="str">
        <x:v>Adjusted EBITDA</x:v>
      </x:c>
      <x:c r="D13" s="97" t="n">
        <x:f>'Sources'!$D$17</x:f>
        <x:v>125.088</x:v>
      </x:c>
      <x:c r="E13" s="97" t="n">
        <x:f>'Sources'!$E$17</x:f>
        <x:v>147.499</x:v>
      </x:c>
      <x:c r="F13" s="97" t="n">
        <x:f>'Sources'!$F$17</x:f>
        <x:v>235.404</x:v>
      </x:c>
      <x:c r="G13" s="98" t="n">
        <x:f>G10*G12</x:f>
        <x:v>291.04659999999996</x:v>
      </x:c>
      <x:c r="H13" s="98" t="n">
        <x:f>H10*H12</x:f>
        <x:v>348.09173359999994</x:v>
      </x:c>
      <x:c r="I13" s="98" t="n">
        <x:f>I10*I12</x:f>
        <x:v>408.4722612359999</x:v>
      </x:c>
      <x:c r="J13" s="98" t="n">
        <x:f>J10*J12</x:f>
        <x:v>470.1969584894399</x:v>
      </x:c>
      <x:c r="K13" s="106" t="n">
        <x:f>K10*K12</x:f>
        <x:v>530.8187806375427</x:v>
      </x:c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5" hidden="0" customHeight="1">
      <x:c r="A14" s="2"/>
      <x:c r="B14" s="2"/>
      <x:c r="C14" s="26" t="str">
        <x:v>EBITDA margin</x:v>
      </x:c>
      <x:c r="D14" s="96" t="n">
        <x:f>D13/D10</x:f>
        <x:v>0.15954328744270047</x:v>
      </x:c>
      <x:c r="E14" s="96" t="n">
        <x:f>E13/E10</x:f>
        <x:v>0.17013121531029837</x:v>
      </x:c>
      <x:c r="F14" s="96" t="n">
        <x:f>F13/F10</x:f>
        <x:v>0.23253544277789193</x:v>
      </x:c>
      <x:c r="G14" s="17" t="n">
        <x:f>G13/G10</x:f>
        <x:v>0.25</x:v>
      </x:c>
      <x:c r="H14" s="17" t="n">
        <x:f>H13/H10</x:f>
        <x:v>0.26</x:v>
      </x:c>
      <x:c r="I14" s="17" t="n">
        <x:f>I13/I10</x:f>
        <x:v>0.27</x:v>
      </x:c>
      <x:c r="J14" s="17" t="n">
        <x:f>J13/J10</x:f>
        <x:v>0.28</x:v>
      </x:c>
      <x:c r="K14" s="29" t="n">
        <x:f>K13/K10</x:f>
        <x:v>0.29</x:v>
      </x:c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5" hidden="0" customHeight="1">
      <x:c r="A15" s="2"/>
      <x:c r="B15" s="2"/>
      <x:c r="C15" s="26" t="str">
        <x:v>Depreciation &amp; amortisation</x:v>
      </x:c>
      <x:c r="D15" s="95" t="n">
        <x:f>'Sources'!$D$18</x:f>
        <x:v>32.72</x:v>
      </x:c>
      <x:c r="E15" s="95" t="n">
        <x:f>'Sources'!$E$18</x:f>
        <x:v>31.617</x:v>
      </x:c>
      <x:c r="F15" s="95" t="n">
        <x:f>'Sources'!$F$18</x:f>
        <x:v>43.927</x:v>
      </x:c>
      <x:c r="G15" s="15" t="n">
        <x:f>G10*'Assumptions'!$D$12</x:f>
        <x:v>50.06001519999999</x:v>
      </x:c>
      <x:c r="H15" s="15" t="n">
        <x:f>H10*'Assumptions'!$D$12</x:f>
        <x:v>57.56901747999998</x:v>
      </x:c>
      <x:c r="I15" s="15" t="n">
        <x:f>I10*'Assumptions'!$D$12</x:f>
        <x:v>65.05298975239998</x:v>
      </x:c>
      <x:c r="J15" s="15" t="n">
        <x:f>J10*'Assumptions'!$D$12</x:f>
        <x:v>72.20881862516397</x:v>
      </x:c>
      <x:c r="K15" s="28" t="n">
        <x:f>K10*'Assumptions'!$D$12</x:f>
        <x:v>78.70761230142872</x:v>
      </x:c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5" hidden="0" customHeight="1">
      <x:c r="A16" s="2"/>
      <x:c r="B16" s="2"/>
      <x:c r="C16" s="26" t="str">
        <x:v>D&amp;A as % of revenue</x:v>
      </x:c>
      <x:c r="D16" s="96" t="n">
        <x:f>D15/D10</x:f>
        <x:v>0.04173267112053242</x:v>
      </x:c>
      <x:c r="E16" s="96" t="n">
        <x:f>E15/E10</x:f>
        <x:v>0.0364683057815016</x:v>
      </x:c>
      <x:c r="F16" s="96" t="n">
        <x:f>F15/F10</x:f>
        <x:v>0.04339171974522293</x:v>
      </x:c>
      <x:c r="G16" s="17" t="n">
        <x:f>G15/G10</x:f>
        <x:v>0.043</x:v>
      </x:c>
      <x:c r="H16" s="17" t="n">
        <x:f>H15/H10</x:f>
        <x:v>0.043</x:v>
      </x:c>
      <x:c r="I16" s="17" t="n">
        <x:f>I15/I10</x:f>
        <x:v>0.043000000000000003</x:v>
      </x:c>
      <x:c r="J16" s="17" t="n">
        <x:f>J15/J10</x:f>
        <x:v>0.043</x:v>
      </x:c>
      <x:c r="K16" s="29" t="n">
        <x:f>K15/K10</x:f>
        <x:v>0.04299999999999999</x:v>
      </x:c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5" hidden="0" customHeight="1">
      <x:c r="A17" s="2"/>
      <x:c r="B17" s="2"/>
      <x:c r="C17" s="26" t="str">
        <x:v>EBIT</x:v>
      </x:c>
      <x:c r="D17" s="95" t="n">
        <x:f>D13-D15</x:f>
        <x:v>92.368</x:v>
      </x:c>
      <x:c r="E17" s="95" t="n">
        <x:f>E13-E15</x:f>
        <x:v>115.88199999999999</x:v>
      </x:c>
      <x:c r="F17" s="95" t="n">
        <x:f>F13-F15</x:f>
        <x:v>191.477</x:v>
      </x:c>
      <x:c r="G17" s="15" t="n">
        <x:f>G13-G15</x:f>
        <x:v>240.98658479999997</x:v>
      </x:c>
      <x:c r="H17" s="15" t="n">
        <x:f>H13-H15</x:f>
        <x:v>290.52271612</x:v>
      </x:c>
      <x:c r="I17" s="15" t="n">
        <x:f>I13-I15</x:f>
        <x:v>343.4192714835999</x:v>
      </x:c>
      <x:c r="J17" s="15" t="n">
        <x:f>J13-J15</x:f>
        <x:v>397.9881398642759</x:v>
      </x:c>
      <x:c r="K17" s="28" t="n">
        <x:f>K13-K15</x:f>
        <x:v>452.1111683361139</x:v>
      </x:c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5" hidden="0" customHeight="1">
      <x:c r="A18" s="2"/>
      <x:c r="B18" s="2"/>
      <x:c r="C18" s="26" t="str">
        <x:v>Cash interest</x:v>
      </x:c>
      <x:c r="D18" s="95"/>
      <x:c r="E18" s="95"/>
      <x:c r="F18" s="95"/>
      <x:c r="G18" s="15" t="n">
        <x:f>G25*'Assumptions'!$D$11</x:f>
        <x:v>94.1616</x:v>
      </x:c>
      <x:c r="H18" s="15" t="n">
        <x:f>H25*'Assumptions'!$D$11</x:f>
        <x:v>83.05207352000001</x:v>
      </x:c>
      <x:c r="I18" s="15" t="n">
        <x:f>I25*'Assumptions'!$D$11</x:f>
        <x:v>67.95880346320003</x:v>
      </x:c>
      <x:c r="J18" s="15" t="n">
        <x:f>J25*'Assumptions'!$D$11</x:f>
        <x:v>48.42366280367203</x:v>
      </x:c>
      <x:c r="K18" s="28" t="n">
        <x:f>K25*'Assumptions'!$D$11</x:f>
        <x:v>24.090034188358356</x:v>
      </x:c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5" hidden="0" customHeight="1">
      <x:c r="A19" s="2"/>
      <x:c r="B19" s="2"/>
      <x:c r="C19" s="26" t="str">
        <x:v>Cash taxes</x:v>
      </x:c>
      <x:c r="D19" s="95"/>
      <x:c r="E19" s="95"/>
      <x:c r="F19" s="95"/>
      <x:c r="G19" s="15" t="n">
        <x:f>MAX(0,(G17-G18)*'Assumptions'!$D$10)</x:f>
        <x:v>36.706246199999995</x:v>
      </x:c>
      <x:c r="H19" s="15" t="n">
        <x:f>MAX(0,(H17-H18)*'Assumptions'!$D$10)</x:f>
        <x:v>51.86766064999999</x:v>
      </x:c>
      <x:c r="I19" s="15" t="n">
        <x:f>MAX(0,(I17-I18)*'Assumptions'!$D$10)</x:f>
        <x:v>68.86511700509998</x:v>
      </x:c>
      <x:c r="J19" s="15" t="n">
        <x:f>MAX(0,(J17-J18)*'Assumptions'!$D$10)</x:f>
        <x:v>87.39111926515098</x:v>
      </x:c>
      <x:c r="K19" s="28" t="n">
        <x:f>MAX(0,(K17-K18)*'Assumptions'!$D$10)</x:f>
        <x:v>107.00528353693889</x:v>
      </x:c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5" hidden="0" customHeight="1">
      <x:c r="A20" s="2"/>
      <x:c r="B20" s="2"/>
      <x:c r="C20" s="26" t="str">
        <x:v>Capital expenditure</x:v>
      </x:c>
      <x:c r="D20" s="95" t="n">
        <x:f>'Sources'!$D$20</x:f>
        <x:v>11.021</x:v>
      </x:c>
      <x:c r="E20" s="95" t="n">
        <x:f>'Sources'!$E$20</x:f>
        <x:v>11.543</x:v>
      </x:c>
      <x:c r="F20" s="95" t="n">
        <x:f>'Sources'!$F$20</x:f>
        <x:v>16.998</x:v>
      </x:c>
      <x:c r="G20" s="15" t="n">
        <x:f>G10*'Assumptions'!$D$13</x:f>
        <x:v>19.791168799999998</x:v>
      </x:c>
      <x:c r="H20" s="15" t="n">
        <x:f>H10*'Assumptions'!$D$13</x:f>
        <x:v>22.759844119999997</x:v>
      </x:c>
      <x:c r="I20" s="15" t="n">
        <x:f>I10*'Assumptions'!$D$13</x:f>
        <x:v>25.718623855599994</x:v>
      </x:c>
      <x:c r="J20" s="15" t="n">
        <x:f>J10*'Assumptions'!$D$13</x:f>
        <x:v>28.54767247971599</x:v>
      </x:c>
      <x:c r="K20" s="28" t="n">
        <x:f>K10*'Assumptions'!$D$13</x:f>
        <x:v>31.116963002890433</x:v>
      </x:c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5" hidden="0" customHeight="1">
      <x:c r="A21" s="2"/>
      <x:c r="B21" s="2"/>
      <x:c r="C21" s="26" t="str">
        <x:v>Change in net working capital</x:v>
      </x:c>
      <x:c r="D21" s="15"/>
      <x:c r="E21" s="15"/>
      <x:c r="F21" s="15"/>
      <x:c r="G21" s="15" t="n">
        <x:f>(G10-F10)*'Assumptions'!$D$14</x:f>
        <x:v>1.518503999999998</x:v>
      </x:c>
      <x:c r="H21" s="15" t="n">
        <x:f>(H10-G10)*'Assumptions'!$D$14</x:f>
        <x:v>1.746279599999998</x:v>
      </x:c>
      <x:c r="I21" s="15" t="n">
        <x:f>(I10-H10)*'Assumptions'!$D$14</x:f>
        <x:v>1.740458667999999</x:v>
      </x:c>
      <x:c r="J21" s="15" t="n">
        <x:f>(J10-I10)*'Assumptions'!$D$14</x:f>
        <x:v>1.66414624948</x:v>
      </x:c>
      <x:c r="K21" s="28" t="n">
        <x:f>(K10-J10)*'Assumptions'!$D$14</x:f>
        <x:v>1.5113473665732</x:v>
      </x:c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5" hidden="0" customHeight="1">
      <x:c r="A22" s="2"/>
      <x:c r="B22" s="2"/>
      <x:c r="C22" s="107" t="str">
        <x:v>Cash flow available for debt paydown</x:v>
      </x:c>
      <x:c r="D22" s="108"/>
      <x:c r="E22" s="108"/>
      <x:c r="F22" s="108"/>
      <x:c r="G22" s="108" t="n">
        <x:f>G13-G18-G19-G20-G21</x:f>
        <x:v>138.8690809999999</x:v>
      </x:c>
      <x:c r="H22" s="108" t="n">
        <x:f>H13-H18-H19-H20-H21</x:f>
        <x:v>188.6658757099999</x:v>
      </x:c>
      <x:c r="I22" s="108" t="n">
        <x:f>I13-I18-I19-I20-I21</x:f>
        <x:v>244.1892582440999</x:v>
      </x:c>
      <x:c r="J22" s="108" t="n">
        <x:f>J13-J18-J19-J20-J21</x:f>
        <x:v>304.170357691421</x:v>
      </x:c>
      <x:c r="K22" s="109" t="n">
        <x:f>K13-K18-K19-K20-K21</x:f>
        <x:v>367.09515254278176</x:v>
      </x:c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5" hidden="0" customHeight="1">
      <x:c r="A23" s="2"/>
      <x:c r="B23" s="2"/>
      <x:c r="C23" s="2" t="str"/>
      <x:c r="D23" s="15"/>
      <x:c r="E23" s="15"/>
      <x:c r="F23" s="15"/>
      <x:c r="G23" s="15"/>
      <x:c r="H23" s="15"/>
      <x:c r="I23" s="15"/>
      <x:c r="J23" s="15"/>
      <x:c r="K23" s="15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5" hidden="0" customHeight="1">
      <x:c r="A24" s="2"/>
      <x:c r="B24" s="2"/>
      <x:c r="C24" s="9" t="str">
        <x:v>Debt Schedule</x:v>
      </x:c>
      <x:c r="D24" s="103"/>
      <x:c r="E24" s="103"/>
      <x:c r="F24" s="103"/>
      <x:c r="G24" s="103"/>
      <x:c r="H24" s="103"/>
      <x:c r="I24" s="103"/>
      <x:c r="J24" s="103"/>
      <x:c r="K24" s="103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</x:row>
    <x:row r="25" ht="15" hidden="0" customHeight="1">
      <x:c r="A25" s="2"/>
      <x:c r="B25" s="2"/>
      <x:c r="C25" s="24" t="str">
        <x:v>Beginning debt</x:v>
      </x:c>
      <x:c r="D25" s="105"/>
      <x:c r="E25" s="105"/>
      <x:c r="F25" s="105"/>
      <x:c r="G25" s="105" t="n">
        <x:f>$D$41</x:f>
        <x:v>1177.02</x:v>
      </x:c>
      <x:c r="H25" s="105" t="n">
        <x:f>G27</x:f>
        <x:v>1038.1509190000002</x:v>
      </x:c>
      <x:c r="I25" s="105" t="n">
        <x:f>H27</x:f>
        <x:v>849.4850432900002</x:v>
      </x:c>
      <x:c r="J25" s="105" t="n">
        <x:f>I27</x:f>
        <x:v>605.2957850459004</x:v>
      </x:c>
      <x:c r="K25" s="25" t="n">
        <x:f>J27</x:f>
        <x:v>301.1254273544794</x:v>
      </x:c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</x:row>
    <x:row r="26" ht="15" hidden="0" customHeight="1">
      <x:c r="A26" s="2"/>
      <x:c r="B26" s="2"/>
      <x:c r="C26" s="26" t="str">
        <x:v>Cash debt paydown</x:v>
      </x:c>
      <x:c r="D26" s="15"/>
      <x:c r="E26" s="15"/>
      <x:c r="F26" s="15"/>
      <x:c r="G26" s="15" t="n">
        <x:f>MIN(G22,G25)</x:f>
        <x:v>138.8690809999999</x:v>
      </x:c>
      <x:c r="H26" s="15" t="n">
        <x:f>MIN(H22,H25)</x:f>
        <x:v>188.6658757099999</x:v>
      </x:c>
      <x:c r="I26" s="15" t="n">
        <x:f>MIN(I22,I25)</x:f>
        <x:v>244.1892582440999</x:v>
      </x:c>
      <x:c r="J26" s="15" t="n">
        <x:f>MIN(J22,J25)</x:f>
        <x:v>304.170357691421</x:v>
      </x:c>
      <x:c r="K26" s="28" t="n">
        <x:f>MIN(K22,K25)</x:f>
        <x:v>301.1254273544794</x:v>
      </x:c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5" hidden="0" customHeight="1">
      <x:c r="A27" s="2"/>
      <x:c r="B27" s="2"/>
      <x:c r="C27" s="26" t="str">
        <x:v>Ending debt</x:v>
      </x:c>
      <x:c r="D27" s="15"/>
      <x:c r="E27" s="15"/>
      <x:c r="F27" s="15"/>
      <x:c r="G27" s="15" t="n">
        <x:f>G25-G26</x:f>
        <x:v>1038.1509190000002</x:v>
      </x:c>
      <x:c r="H27" s="15" t="n">
        <x:f>H25-H26</x:f>
        <x:v>849.4850432900002</x:v>
      </x:c>
      <x:c r="I27" s="15" t="n">
        <x:f>I25-I26</x:f>
        <x:v>605.2957850459004</x:v>
      </x:c>
      <x:c r="J27" s="15" t="n">
        <x:f>J25-J26</x:f>
        <x:v>301.1254273544794</x:v>
      </x:c>
      <x:c r="K27" s="28" t="n">
        <x:f>K25-K26</x:f>
        <x:v>0</x:v>
      </x:c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15" hidden="0" customHeight="1">
      <x:c r="A28" s="2"/>
      <x:c r="B28" s="2"/>
      <x:c r="C28" s="26" t="str">
        <x:v>Debt / EBITDA</x:v>
      </x:c>
      <x:c r="D28" s="15"/>
      <x:c r="E28" s="15"/>
      <x:c r="F28" s="15"/>
      <x:c r="G28" s="16" t="n">
        <x:f>G27/G13</x:f>
        <x:v>3.566957727731574</x:v>
      </x:c>
      <x:c r="H28" s="16" t="n">
        <x:f>H27/H13</x:f>
        <x:v>2.440405678424305</x:v>
      </x:c>
      <x:c r="I28" s="16" t="n">
        <x:f>I27/I13</x:f>
        <x:v>1.4818528514380154</x:v>
      </x:c>
      <x:c r="J28" s="16" t="n">
        <x:f>J27/J13</x:f>
        <x:v>0.6404240221414413</x:v>
      </x:c>
      <x:c r="K28" s="27" t="n">
        <x:f>K27/K13</x:f>
        <x:v>0</x:v>
      </x:c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5" hidden="0" customHeight="1">
      <x:c r="A29" s="2"/>
      <x:c r="B29" s="2"/>
      <x:c r="C29" s="30" t="str">
        <x:v>Interest rate</x:v>
      </x:c>
      <x:c r="D29" s="110"/>
      <x:c r="E29" s="110"/>
      <x:c r="F29" s="110"/>
      <x:c r="G29" s="111" t="n">
        <x:f>'Assumptions'!$D$11</x:f>
        <x:v>0.08</x:v>
      </x:c>
      <x:c r="H29" s="111" t="n">
        <x:f>'Assumptions'!$D$11</x:f>
        <x:v>0.08</x:v>
      </x:c>
      <x:c r="I29" s="111" t="n">
        <x:f>'Assumptions'!$D$11</x:f>
        <x:v>0.08</x:v>
      </x:c>
      <x:c r="J29" s="111" t="n">
        <x:f>'Assumptions'!$D$11</x:f>
        <x:v>0.08</x:v>
      </x:c>
      <x:c r="K29" s="112" t="n">
        <x:f>'Assumptions'!$D$11</x:f>
        <x:v>0.08</x:v>
      </x:c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5" hidden="0" customHeight="1">
      <x:c r="A33" s="2"/>
      <x:c r="B33" s="2"/>
      <x:c r="C33" s="10" t="str">
        <x:v>Entry Sources &amp; Uses</x:v>
      </x:c>
      <x:c r="D33" s="10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5" hidden="0" customHeight="1">
      <x:c r="A34" s="2"/>
      <x:c r="B34" s="2"/>
      <x:c r="C34" s="24" t="str">
        <x:v>Target enterprise value</x:v>
      </x:c>
      <x:c r="D34" s="114" t="n">
        <x:f>'Sources'!$D$9</x:f>
        <x:v>7203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5" hidden="0" customHeight="1">
      <x:c r="A35" s="2"/>
      <x:c r="B35" s="2"/>
      <x:c r="C35" s="26" t="str">
        <x:v>Enterprise value</x:v>
      </x:c>
      <x:c r="D35" s="115" t="n">
        <x:f>D34</x:f>
        <x:v>7203</x:v>
      </x:c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5" hidden="0" customHeight="1">
      <x:c r="A36" s="2"/>
      <x:c r="B36" s="2"/>
      <x:c r="C36" s="26" t="str">
        <x:v>Existing debt repaid</x:v>
      </x:c>
      <x:c r="D36" s="115" t="n">
        <x:f>'Sources'!$F$22</x:f>
        <x:v>568.793</x:v>
      </x:c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5" hidden="0" customHeight="1">
      <x:c r="A37" s="2"/>
      <x:c r="B37" s="2"/>
      <x:c r="C37" s="26" t="str">
        <x:v>Transaction fees</x:v>
      </x:c>
      <x:c r="D37" s="115" t="n">
        <x:f>'Assumptions'!$D$9</x:f>
        <x:v>150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5" hidden="0" customHeight="1">
      <x:c r="A38" s="2"/>
      <x:c r="B38" s="2"/>
      <x:c r="C38" s="32" t="str">
        <x:v>Total uses</x:v>
      </x:c>
      <x:c r="D38" s="116" t="n">
        <x:f>SUM(D35:D37)</x:f>
        <x:v>7921.793</x:v>
      </x:c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5" hidden="0" customHeight="1">
      <x:c r="A39" s="2"/>
      <x:c r="B39" s="2"/>
      <x:c r="C39" s="26" t="str"/>
      <x:c r="D39" s="115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5" hidden="0" customHeight="1">
      <x:c r="A40" s="2"/>
      <x:c r="B40" s="2"/>
      <x:c r="C40" s="26" t="str">
        <x:v>Target cash</x:v>
      </x:c>
      <x:c r="D40" s="115" t="n">
        <x:f>'Sources'!$F$23</x:f>
        <x:v>257.702</x:v>
      </x:c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5" hidden="0" customHeight="1">
      <x:c r="A41" s="2"/>
      <x:c r="B41" s="2"/>
      <x:c r="C41" s="26" t="str">
        <x:v>New term loan</x:v>
      </x:c>
      <x:c r="D41" s="115" t="n">
        <x:f>'Assumptions'!$D$7*'LBO Model'!$F$13</x:f>
        <x:v>1177.02</x:v>
      </x:c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5" hidden="0" customHeight="1">
      <x:c r="A42" s="2"/>
      <x:c r="B42" s="2"/>
      <x:c r="C42" s="26" t="str">
        <x:v>Rollover equity</x:v>
      </x:c>
      <x:c r="D42" s="115" t="n">
        <x:f>('LBO Model'!$D$35-'LBO Model'!$D$36+'LBO Model'!$D$40)*'Assumptions'!$D$8</x:f>
        <x:v>2067.5727</x:v>
      </x:c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</x:row>
    <x:row r="43" ht="15" hidden="0" customHeight="1">
      <x:c r="A43" s="2"/>
      <x:c r="B43" s="2"/>
      <x:c r="C43" s="117" t="str">
        <x:v>Sponsor cash equity</x:v>
      </x:c>
      <x:c r="D43" s="118" t="n">
        <x:f>D38-D40-D41-D42</x:f>
        <x:v>4419.498299999999</x:v>
      </x:c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</x:row>
    <x:row r="44" ht="15" hidden="0" customHeight="1">
      <x:c r="A44" s="2"/>
      <x:c r="B44" s="2"/>
      <x:c r="C44" s="107" t="str">
        <x:v>Total sources</x:v>
      </x:c>
      <x:c r="D44" s="109" t="n">
        <x:f>SUM(D40:D43)</x:f>
        <x:v>7921.793</x:v>
      </x:c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</x:row>
    <x:row r="45" ht="15" hidden="0" customHeight="1">
      <x:c r="A45" s="2"/>
      <x:c r="B45" s="2"/>
      <x:c r="C45" s="2" t="str">
        <x:v>Sources &amp; uses difference</x:v>
      </x:c>
      <x:c r="D45" s="2" t="n">
        <x:f>D38-D44</x:f>
        <x:v>0</x:v>
      </x:c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D6C6A8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7" hidden="0" customWidth="1"/>
    <x:col min="4" max="4" width="15" hidden="0" customWidth="1"/>
    <x:col min="5" max="5" width="15" hidden="0" customWidth="1"/>
    <x:col min="6" max="6" width="15" hidden="0" customWidth="1"/>
    <x:col min="7" max="7" width="4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19.200000762939453" hidden="0" customHeight="1">
      <x:c r="A2" s="2"/>
      <x:c r="B2" s="2"/>
      <x:c r="C2" s="4" t="str">
        <x:v>Sources and Historical Financials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15" hidden="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15" hidden="0" customHeight="1">
      <x:c r="A5" s="2"/>
      <x:c r="B5" s="2"/>
      <x:c r="C5" s="10" t="str">
        <x:v>Transaction Terms</x:v>
      </x:c>
      <x:c r="D5" s="10"/>
      <x:c r="E5" s="10"/>
      <x:c r="F5" s="10"/>
      <x:c r="G5" s="2"/>
      <x:c r="H5" s="128" t="str">
        <x:v>Source</x:v>
      </x:c>
      <x:c r="I5" s="129" t="str">
        <x:v>Link</x:v>
      </x:c>
      <x:c r="J5" s="129" t="str">
        <x:v>Use in model</x:v>
      </x:c>
      <x:c r="K5" s="130" t="str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</x:row>
    <x:row r="6" ht="32.400001525878906" hidden="0" customHeight="1">
      <x:c r="A6" s="2"/>
      <x:c r="B6" s="2"/>
      <x:c r="C6" s="128" t="str">
        <x:v>Metric</x:v>
      </x:c>
      <x:c r="D6" s="129" t="str">
        <x:v>Value</x:v>
      </x:c>
      <x:c r="E6" s="129" t="str">
        <x:v>Unit</x:v>
      </x:c>
      <x:c r="F6" s="130" t="str">
        <x:v>Source reference</x:v>
      </x:c>
      <x:c r="G6" s="2"/>
      <x:c r="H6" s="140" t="str">
        <x:v>FY2023 results</x:v>
      </x:c>
      <x:c r="I6" s="139" t="str">
        <x:v>https://www.sec.gov/Archives/edgar/data/1496963/000149696324000007/sqsp-02282024x8kexhibit991.htm</x:v>
      </x:c>
      <x:c r="J6" s="138" t="str">
        <x:v>FY2023 and FY2022 operating data</x:v>
      </x:c>
      <x:c r="K6" s="131" t="str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</x:row>
    <x:row r="7" ht="32.400001525878906" hidden="0" customHeight="1">
      <x:c r="A7" s="2"/>
      <x:c r="B7" s="2"/>
      <x:c r="C7" s="26" t="str">
        <x:v>Transaction close</x:v>
      </x:c>
      <x:c r="D7" s="126" t="d">
        <x:v>2024-10-17T00:00:00.000Z</x:v>
      </x:c>
      <x:c r="E7" s="2" t="str">
        <x:v>Date</x:v>
      </x:c>
      <x:c r="F7" s="131" t="str">
        <x:v>Permira completion release</x:v>
      </x:c>
      <x:c r="G7" s="2"/>
      <x:c r="H7" s="140" t="str">
        <x:v>FY2022 Form 10-K</x:v>
      </x:c>
      <x:c r="I7" s="139" t="str">
        <x:v>https://www.sec.gov/Archives/edgar/data/1496963/000149696323000010/sqsp-20221231.htm</x:v>
      </x:c>
      <x:c r="J7" s="138" t="str">
        <x:v>FY2021 historical data</x:v>
      </x:c>
      <x:c r="K7" s="131" t="str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</x:row>
    <x:row r="8" ht="32.400001525878906" hidden="0" customHeight="1">
      <x:c r="A8" s="2"/>
      <x:c r="B8" s="2"/>
      <x:c r="C8" s="26" t="str">
        <x:v>Revised offer price</x:v>
      </x:c>
      <x:c r="D8" s="127" t="n">
        <x:v>46.5</x:v>
      </x:c>
      <x:c r="E8" s="2" t="str">
        <x:v>$/share</x:v>
      </x:c>
      <x:c r="F8" s="131" t="str">
        <x:v>Tender offer presentation</x:v>
      </x:c>
      <x:c r="G8" s="2"/>
      <x:c r="H8" s="140" t="str">
        <x:v>Tender offer presentation</x:v>
      </x:c>
      <x:c r="I8" s="139" t="str">
        <x:v>https://www.sec.gov/Archives/edgar/data/1496963/000114036124040628/ny20030653x14_ex99-3.htm</x:v>
      </x:c>
      <x:c r="J8" s="138" t="str">
        <x:v>Revised transaction value and offer price</x:v>
      </x:c>
      <x:c r="K8" s="131" t="str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</x:row>
    <x:row r="9" ht="32.400001525878906" hidden="0" customHeight="1">
      <x:c r="A9" s="2"/>
      <x:c r="B9" s="2"/>
      <x:c r="C9" s="30" t="str">
        <x:v>Entry enterprise value</x:v>
      </x:c>
      <x:c r="D9" s="132" t="n">
        <x:v>7203</x:v>
      </x:c>
      <x:c r="E9" s="133" t="str">
        <x:v>$m</x:v>
      </x:c>
      <x:c r="F9" s="134" t="str">
        <x:v>Tender offer presentation</x:v>
      </x:c>
      <x:c r="G9" s="2"/>
      <x:c r="H9" s="140" t="str">
        <x:v>Transaction completion</x:v>
      </x:c>
      <x:c r="I9" s="139" t="str">
        <x:v>https://www.squarespace.com/press-releases/2024/10/17/permira-completes-acquisition-of-squarespace</x:v>
      </x:c>
      <x:c r="J9" s="138" t="str">
        <x:v>Close date and acquirer</x:v>
      </x:c>
      <x:c r="K9" s="131" t="str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</x:row>
    <x:row r="10" ht="21.600000381469727" hidden="0" customHeight="1">
      <x:c r="A10" s="2"/>
      <x:c r="B10" s="2"/>
      <x:c r="C10" s="2"/>
      <x:c r="D10" s="2"/>
      <x:c r="E10" s="2"/>
      <x:c r="F10" s="2"/>
      <x:c r="G10" s="2"/>
      <x:c r="H10" s="141" t="str">
        <x:v>Source convention</x:v>
      </x:c>
      <x:c r="I10" s="142" t="str">
        <x:v>Hardcoded values in blue are source data or explicit case assumptions.</x:v>
      </x:c>
      <x:c r="J10" s="142" t="str">
        <x:v>All financing, rollover, operating and exit assumptions are illustrative.</x:v>
      </x:c>
      <x:c r="K10" s="134" t="str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</x:row>
    <x:row r="12" ht="15" hidden="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</x:row>
    <x:row r="13" ht="15" hidden="0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5" hidden="0" customHeight="1">
      <x:c r="A14" s="2"/>
      <x:c r="B14" s="2"/>
      <x:c r="C14" s="10" t="str">
        <x:v>Historical Financials</x:v>
      </x:c>
      <x:c r="D14" s="10"/>
      <x:c r="E14" s="10"/>
      <x:c r="F14" s="10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5" hidden="0" customHeight="1">
      <x:c r="A15" s="2"/>
      <x:c r="B15" s="2"/>
      <x:c r="C15" s="128" t="str">
        <x:v>Metric ($m except where stated)</x:v>
      </x:c>
      <x:c r="D15" s="129" t="str">
        <x:v>FY2021</x:v>
      </x:c>
      <x:c r="E15" s="129" t="str">
        <x:v>FY2022</x:v>
      </x:c>
      <x:c r="F15" s="130" t="str">
        <x:v>FY2023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5" hidden="0" customHeight="1">
      <x:c r="A16" s="2"/>
      <x:c r="B16" s="2"/>
      <x:c r="C16" s="26" t="str">
        <x:v>Revenue</x:v>
      </x:c>
      <x:c r="D16" s="49" t="n">
        <x:v>784.038</x:v>
      </x:c>
      <x:c r="E16" s="49" t="n">
        <x:v>866.972</x:v>
      </x:c>
      <x:c r="F16" s="55" t="n">
        <x:v>1012.336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5" hidden="0" customHeight="1">
      <x:c r="A17" s="2"/>
      <x:c r="B17" s="2"/>
      <x:c r="C17" s="26" t="str">
        <x:v>Adjusted EBITDA</x:v>
      </x:c>
      <x:c r="D17" s="49" t="n">
        <x:v>125.088</x:v>
      </x:c>
      <x:c r="E17" s="49" t="n">
        <x:v>147.499</x:v>
      </x:c>
      <x:c r="F17" s="55" t="n">
        <x:v>235.404</x:v>
      </x:c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5" hidden="0" customHeight="1">
      <x:c r="A18" s="2"/>
      <x:c r="B18" s="2"/>
      <x:c r="C18" s="26" t="str">
        <x:v>Depreciation &amp; amortisation</x:v>
      </x:c>
      <x:c r="D18" s="49" t="n">
        <x:v>32.72</x:v>
      </x:c>
      <x:c r="E18" s="49" t="n">
        <x:v>31.617</x:v>
      </x:c>
      <x:c r="F18" s="55" t="n">
        <x:v>43.927</x:v>
      </x:c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5" hidden="0" customHeight="1">
      <x:c r="A19" s="2"/>
      <x:c r="B19" s="2"/>
      <x:c r="C19" s="26" t="str">
        <x:v>Cash flow from operating activities</x:v>
      </x:c>
      <x:c r="D19" s="49" t="n">
        <x:v>123.157</x:v>
      </x:c>
      <x:c r="E19" s="49" t="n">
        <x:v>164.219</x:v>
      </x:c>
      <x:c r="F19" s="55" t="n">
        <x:v>231.117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5" hidden="0" customHeight="1">
      <x:c r="A20" s="2"/>
      <x:c r="B20" s="2"/>
      <x:c r="C20" s="26" t="str">
        <x:v>Capital expenditure</x:v>
      </x:c>
      <x:c r="D20" s="49" t="n">
        <x:v>11.021</x:v>
      </x:c>
      <x:c r="E20" s="49" t="n">
        <x:v>11.543</x:v>
      </x:c>
      <x:c r="F20" s="55" t="n">
        <x:v>16.998</x:v>
      </x:c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5" hidden="0" customHeight="1">
      <x:c r="A21" s="2"/>
      <x:c r="B21" s="2"/>
      <x:c r="C21" s="26" t="str">
        <x:v>Unlevered free cash flow</x:v>
      </x:c>
      <x:c r="D21" s="49" t="n">
        <x:v>122.387</x:v>
      </x:c>
      <x:c r="E21" s="49" t="n">
        <x:v>165.55</x:v>
      </x:c>
      <x:c r="F21" s="55" t="n">
        <x:v>241.013</x:v>
      </x:c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5" hidden="0" customHeight="1">
      <x:c r="A22" s="2"/>
      <x:c r="B22" s="2"/>
      <x:c r="C22" s="26" t="str">
        <x:v>Total debt</x:v>
      </x:c>
      <x:c r="D22" s="49" t="n">
        <x:v>526.633</x:v>
      </x:c>
      <x:c r="E22" s="49" t="n">
        <x:v>513.925</x:v>
      </x:c>
      <x:c r="F22" s="55" t="n">
        <x:v>568.793</x:v>
      </x:c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5" hidden="0" customHeight="1">
      <x:c r="A23" s="2"/>
      <x:c r="B23" s="2"/>
      <x:c r="C23" s="26" t="str">
        <x:v>Cash, cash equivalents &amp; marketable securities</x:v>
      </x:c>
      <x:c r="D23" s="49" t="n">
        <x:v>234.703</x:v>
      </x:c>
      <x:c r="E23" s="49" t="n">
        <x:v>228.794</x:v>
      </x:c>
      <x:c r="F23" s="55" t="n">
        <x:v>257.702</x:v>
      </x:c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5" hidden="0" customHeight="1">
      <x:c r="A24" s="2"/>
      <x:c r="B24" s="2"/>
      <x:c r="C24" s="30" t="str">
        <x:v>Total net debt</x:v>
      </x:c>
      <x:c r="D24" s="132" t="n">
        <x:v>291.93</x:v>
      </x:c>
      <x:c r="E24" s="132" t="n">
        <x:v>285.131</x:v>
      </x:c>
      <x:c r="F24" s="135" t="n">
        <x:v>311.091</x:v>
      </x:c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5" hidden="0" customHeight="1">
      <x:c r="A27" s="2"/>
      <x:c r="B27" s="2"/>
      <x:c r="C27" s="38" t="str">
        <x:v>Scope note</x:v>
      </x:c>
      <x:c r="D27" s="38"/>
      <x:c r="E27" s="38"/>
      <x:c r="F27" s="38"/>
      <x:c r="G27" s="38"/>
      <x:c r="H27" s="38"/>
      <x:c r="I27" s="38"/>
      <x:c r="J27" s="38"/>
      <x:c r="K27" s="38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43.20000076293945" hidden="0" customHeight="1">
      <x:c r="A28" s="2"/>
      <x:c r="B28" s="2"/>
      <x:c r="C28" s="41" t="str">
        <x:v>This workbook uses publicly reported historical data and the revised $46.50 per-share tender-offer terms. It does not represent investment advice or reconstruct Permira's undisclosed financing and return assumptions.</x:v>
      </x:c>
      <x:c r="D28" s="41"/>
      <x:c r="E28" s="41"/>
      <x:c r="F28" s="41"/>
      <x:c r="G28" s="41"/>
      <x:c r="H28" s="41"/>
      <x:c r="I28" s="41"/>
      <x:c r="J28" s="41"/>
      <x:c r="K28" s="41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9EADBA"/>
  </x:sheetPr>
  <x:sheetViews>
    <x:sheetView showGridLines="0" workbookViewId="0"/>
  </x:sheetViews>
  <x:sheetFormatPr defaultRowHeight="15"/>
  <x:cols>
    <x:col min="1" max="1" width="3" hidden="0" customWidth="1"/>
    <x:col min="2" max="2" width="3" hidden="0" customWidth="1"/>
    <x:col min="3" max="3" width="39" hidden="0" customWidth="1"/>
    <x:col min="4" max="4" width="18" hidden="0" customWidth="1"/>
    <x:col min="5" max="5" width="16" hidden="0" customWidth="1"/>
  </x:cols>
  <x:sheetData>
    <x:row r="1" ht="15" hidden="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</x:row>
    <x:row r="2" ht="19.200000762939453" hidden="0" customHeight="1">
      <x:c r="A2" s="2"/>
      <x:c r="B2" s="2"/>
      <x:c r="C2" s="4" t="str">
        <x:v>Model Checks</x:v>
      </x:c>
      <x:c r="D2" s="3"/>
      <x:c r="E2" s="3"/>
      <x:c r="F2" s="3"/>
      <x:c r="G2" s="3"/>
      <x:c r="H2" s="3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</x:row>
    <x:row r="3" ht="15" hidden="0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</x:row>
    <x:row r="4" ht="15" hidden="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</x:row>
    <x:row r="5" ht="15" hidden="0" customHeight="1">
      <x:c r="A5" s="2"/>
      <x:c r="B5" s="2"/>
      <x:c r="C5" s="128" t="str">
        <x:v>Check</x:v>
      </x:c>
      <x:c r="D5" s="129" t="str">
        <x:v>Difference / Result</x:v>
      </x:c>
      <x:c r="E5" s="130" t="str">
        <x:v>Status</x:v>
      </x:c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</x:row>
    <x:row r="6" ht="15" hidden="0" customHeight="1">
      <x:c r="A6" s="2"/>
      <x:c r="B6" s="2"/>
      <x:c r="C6" s="26" t="str">
        <x:v>Sources &amp; uses reconcile</x:v>
      </x:c>
      <x:c r="D6" s="95" t="n">
        <x:f>'LBO Model'!$D$45</x:f>
        <x:v>0</x:v>
      </x:c>
      <x:c r="E6" s="52" t="str">
        <x:f>IF(ABS(D6)&lt;0.01,"OK","Review")</x:f>
        <x:v>OK</x:v>
      </x:c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</x:row>
    <x:row r="7" ht="15" hidden="0" customHeight="1">
      <x:c r="A7" s="2"/>
      <x:c r="B7" s="2"/>
      <x:c r="C7" s="26" t="str">
        <x:v>Debt remains non-negative</x:v>
      </x:c>
      <x:c r="D7" s="95" t="n">
        <x:f>MIN('LBO Model'!$G$27:$K$27)</x:f>
        <x:v>0</x:v>
      </x:c>
      <x:c r="E7" s="52" t="str">
        <x:f>IF(D7&gt;=0,"OK","Review")</x:f>
        <x:v>OK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</x:row>
    <x:row r="8" ht="15" hidden="0" customHeight="1">
      <x:c r="A8" s="2"/>
      <x:c r="B8" s="2"/>
      <x:c r="C8" s="26" t="str">
        <x:v>Debt paydown does not exceed opening debt</x:v>
      </x:c>
      <x:c r="D8" s="95" t="n">
        <x:f>MAX('LBO Model'!$G$26:$K$26-'LBO Model'!$G$25:$K$25)</x:f>
        <x:v>0</x:v>
      </x:c>
      <x:c r="E8" s="52" t="str">
        <x:f>IF(D8&lt;=0.01,"OK","Review")</x:f>
        <x:v>OK</x:v>
      </x:c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</x:row>
    <x:row r="9" ht="15" hidden="0" customHeight="1">
      <x:c r="A9" s="2"/>
      <x:c r="B9" s="2"/>
      <x:c r="C9" s="26" t="str">
        <x:v>Exit equity bridge reconciles</x:v>
      </x:c>
      <x:c r="D9" s="95" t="n">
        <x:f>'Summary'!$D$18-('Summary'!$D$16-'Summary'!$D$17)</x:f>
        <x:v>0</x:v>
      </x:c>
      <x:c r="E9" s="52" t="str">
        <x:f>IF(ABS(D9)&lt;0.01,"OK","Review")</x:f>
        <x:v>OK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</x:row>
    <x:row r="10" ht="15" hidden="0" customHeight="1">
      <x:c r="A10" s="2"/>
      <x:c r="B10" s="2"/>
      <x:c r="C10" s="30" t="str">
        <x:v>Entry multiple recomputes</x:v>
      </x:c>
      <x:c r="D10" s="143" t="n">
        <x:f>'Summary'!$D$7-('Summary'!$D$6/'LBO Model'!$F$13)</x:f>
        <x:v>0</x:v>
      </x:c>
      <x:c r="E10" s="144" t="str">
        <x:f>IF(ABS(D10)&lt;0.0001,"OK","Review")</x:f>
        <x:v>OK</x:v>
      </x:c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</x:row>
    <x:row r="11" ht="15" hidden="0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</x:row>
    <x:row r="12" ht="15" hidden="0" customHeight="1">
      <x:c r="A12" s="2"/>
      <x:c r="B12" s="2"/>
      <x:c r="C12" s="38" t="str">
        <x:v>Check note</x:v>
      </x:c>
      <x:c r="D12" s="38"/>
      <x:c r="E12" s="38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</x:row>
    <x:row r="13" ht="15" hidden="0" customHeight="1">
      <x:c r="A13" s="2"/>
      <x:c r="B13" s="2"/>
      <x:c r="C13" s="39" t="str">
        <x:v>Checks are terminal review items. No operating model calculation depends on them.</x:v>
      </x:c>
      <x:c r="D13" s="39"/>
      <x:c r="E13" s="39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</x:row>
    <x:row r="14" ht="15" hidden="0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</x:row>
    <x:row r="15" ht="15" hidden="0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</x:row>
    <x:row r="16" ht="15" hidden="0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</x:row>
    <x:row r="17" ht="15" hidden="0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</x:row>
    <x:row r="18" ht="15" hidden="0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</x:row>
    <x:row r="19" ht="15" hidden="0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</x:row>
    <x:row r="20" ht="15" hidden="0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</x:row>
    <x:row r="21" ht="15" hidden="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</x:row>
    <x:row r="22" ht="15" hidden="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</x:row>
    <x:row r="23" ht="15" hidden="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</x:row>
    <x:row r="24" ht="15" hidden="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</x:row>
    <x:row r="25" ht="15" hidden="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</x:row>
    <x:row r="26" ht="15" hidden="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</x:row>
    <x:row r="27" ht="15" hidden="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</x:row>
    <x:row r="28" ht="15" hidden="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</x:row>
    <x:row r="29" ht="15" hidden="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</x:row>
    <x:row r="30" ht="15" hidden="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</x:row>
    <x:row r="31" ht="15" hidden="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</x:row>
    <x:row r="32" ht="15" hidden="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</x:row>
    <x:row r="33" ht="15" hidden="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</x:row>
    <x:row r="34" ht="15" hidden="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</x:row>
    <x:row r="35" ht="15" hidden="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</x:row>
    <x:row r="36" ht="15" hidden="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</x:row>
    <x:row r="37" ht="15" hidden="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</x:row>
    <x:row r="38" ht="15" hidden="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</x:row>
    <x:row r="39" ht="15" hidden="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</x:row>
    <x:row r="40" ht="15" hidden="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</x:row>
    <x:row r="41" ht="15" hidden="0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</x:row>
    <x:row r="42" ht="15" hidden="0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</x:row>
    <x:row r="43" ht="15" hidden="0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</x:row>
    <x:row r="44" ht="15" hidden="0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</x:row>
    <x:row r="45" ht="15" hidden="0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</x:row>
    <x:row r="46" ht="15" hidden="0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</x:row>
    <x:row r="47" ht="15" hidden="0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</x:row>
    <x:row r="48" ht="15" hidden="0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</x:row>
    <x:row r="49" ht="15" hidden="0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</x:row>
    <x:row r="50" ht="15" hidden="0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</x:row>
    <x:row r="51" ht="15" hidden="0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</x:row>
    <x:row r="52" ht="15" hidden="0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</x:row>
    <x:row r="53" ht="15" hidden="0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</x:row>
    <x:row r="54" ht="15" hidden="0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</x:row>
    <x:row r="55" ht="15" hidden="0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</x:row>
    <x:row r="56" ht="15" hidden="0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</x:row>
    <x:row r="57" ht="15" hidden="0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</x:row>
    <x:row r="58" ht="15" hidden="0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</x:row>
    <x:row r="59" ht="15" hidden="0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</x:row>
    <x:row r="60" ht="15" hidden="0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</x:row>
    <x:row r="61" ht="15" hidden="0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</x:row>
    <x:row r="62" ht="15" hidden="0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</x:row>
    <x:row r="63" ht="15" hidden="0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</x:row>
    <x:row r="64" ht="15" hidden="0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</x:row>
    <x:row r="65" ht="15" hidden="0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</x:row>
    <x:row r="66" ht="15" hidden="0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</x:row>
    <x:row r="67" ht="15" hidden="0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</x:row>
    <x:row r="68" ht="15" hidden="0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</x:row>
    <x:row r="69" ht="15" hidden="0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</x:row>
    <x:row r="70" ht="15" hidden="0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</x:row>
    <x:row r="71" ht="15" hidden="0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</x:row>
    <x:row r="72" ht="15" hidden="0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</x:row>
    <x:row r="73" ht="15" hidden="0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</x:row>
    <x:row r="74" ht="15" hidden="0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</x:row>
    <x:row r="75" ht="15" hidden="0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</x:row>
    <x:row r="76" ht="15" hidden="0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</x:row>
    <x:row r="77" ht="15" hidden="0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</x:row>
    <x:row r="78" ht="15" hidden="0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</x:row>
    <x:row r="79" ht="15" hidden="0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</x:row>
    <x:row r="80" ht="15" hidden="0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</x:row>
  </x:sheetData>
  <x:conditionalFormatting sqref="E6:E10">
    <x:cfRule type="containsText" dxfId="0" priority="1" operator="containsText" text="Review"/>
  </x:conditionalFormatting>
  <x:pageMargins left="0.7" right="0.7" top="0.75" bottom="0.75" header="0.3" footer="0.3"/>
</x:worksheet>
</file>